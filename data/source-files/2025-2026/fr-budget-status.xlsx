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R 2026-27\"/>
    </mc:Choice>
  </mc:AlternateContent>
  <bookViews>
    <workbookView xWindow="0" yWindow="0" windowWidth="28800" windowHeight="12315" activeTab="1"/>
  </bookViews>
  <sheets>
    <sheet name="OPEN LINE FR" sheetId="1" r:id="rId1"/>
    <sheet name="Sheet2" sheetId="4" r:id="rId2"/>
    <sheet name="Sheet1" sheetId="3" r:id="rId3"/>
    <sheet name="Sheet3" sheetId="5" r:id="rId4"/>
    <sheet name="GSU FR" sheetId="2" r:id="rId5"/>
  </sheets>
  <definedNames>
    <definedName name="_xlnm.Print_Area" localSheetId="0">'OPEN LINE FR'!$A$1:$Z$25</definedName>
  </definedNames>
  <calcPr calcId="152511"/>
</workbook>
</file>

<file path=xl/calcChain.xml><?xml version="1.0" encoding="utf-8"?>
<calcChain xmlns="http://schemas.openxmlformats.org/spreadsheetml/2006/main">
  <c r="O47" i="4" l="1"/>
  <c r="N47" i="4"/>
  <c r="L47" i="4"/>
  <c r="K47" i="4"/>
  <c r="I47" i="4"/>
  <c r="H47" i="4"/>
  <c r="F47" i="4"/>
  <c r="E47" i="4"/>
  <c r="C47" i="4"/>
  <c r="B47" i="4"/>
  <c r="Q47" i="4" s="1"/>
  <c r="R46" i="4"/>
  <c r="Q46" i="4"/>
  <c r="P46" i="4"/>
  <c r="M46" i="4"/>
  <c r="J46" i="4"/>
  <c r="G46" i="4"/>
  <c r="D46" i="4"/>
  <c r="R45" i="4"/>
  <c r="S45" i="4" s="1"/>
  <c r="Q45" i="4"/>
  <c r="T45" i="4" s="1"/>
  <c r="P45" i="4"/>
  <c r="M45" i="4"/>
  <c r="J45" i="4"/>
  <c r="G45" i="4"/>
  <c r="D45" i="4"/>
  <c r="R44" i="4"/>
  <c r="Q44" i="4"/>
  <c r="P44" i="4"/>
  <c r="M44" i="4"/>
  <c r="J44" i="4"/>
  <c r="G44" i="4"/>
  <c r="D44" i="4"/>
  <c r="R43" i="4"/>
  <c r="Q43" i="4"/>
  <c r="P43" i="4"/>
  <c r="M43" i="4"/>
  <c r="J43" i="4"/>
  <c r="G43" i="4"/>
  <c r="D43" i="4"/>
  <c r="R42" i="4"/>
  <c r="Q42" i="4"/>
  <c r="P42" i="4"/>
  <c r="M42" i="4"/>
  <c r="J42" i="4"/>
  <c r="G42" i="4"/>
  <c r="D42" i="4"/>
  <c r="R41" i="4"/>
  <c r="Q41" i="4"/>
  <c r="P41" i="4"/>
  <c r="M41" i="4"/>
  <c r="J41" i="4"/>
  <c r="G41" i="4"/>
  <c r="D41" i="4"/>
  <c r="R40" i="4"/>
  <c r="Q40" i="4"/>
  <c r="P40" i="4"/>
  <c r="M40" i="4"/>
  <c r="J40" i="4"/>
  <c r="G40" i="4"/>
  <c r="D40" i="4"/>
  <c r="R39" i="4"/>
  <c r="Q39" i="4"/>
  <c r="P39" i="4"/>
  <c r="M39" i="4"/>
  <c r="J39" i="4"/>
  <c r="G39" i="4"/>
  <c r="D39" i="4"/>
  <c r="R38" i="4"/>
  <c r="Q38" i="4"/>
  <c r="P38" i="4"/>
  <c r="M38" i="4"/>
  <c r="J38" i="4"/>
  <c r="G38" i="4"/>
  <c r="D38" i="4"/>
  <c r="R37" i="4"/>
  <c r="Q37" i="4"/>
  <c r="P37" i="4"/>
  <c r="M37" i="4"/>
  <c r="J37" i="4"/>
  <c r="G37" i="4"/>
  <c r="D37" i="4"/>
  <c r="R36" i="4"/>
  <c r="Q36" i="4"/>
  <c r="P36" i="4"/>
  <c r="M36" i="4"/>
  <c r="J36" i="4"/>
  <c r="G36" i="4"/>
  <c r="D36" i="4"/>
  <c r="R35" i="4"/>
  <c r="Q35" i="4"/>
  <c r="P35" i="4"/>
  <c r="M35" i="4"/>
  <c r="J35" i="4"/>
  <c r="G35" i="4"/>
  <c r="D35" i="4"/>
  <c r="R34" i="4"/>
  <c r="Q34" i="4"/>
  <c r="P34" i="4"/>
  <c r="M34" i="4"/>
  <c r="J34" i="4"/>
  <c r="G34" i="4"/>
  <c r="D34" i="4"/>
  <c r="R33" i="4"/>
  <c r="Q33" i="4"/>
  <c r="P33" i="4"/>
  <c r="M33" i="4"/>
  <c r="J33" i="4"/>
  <c r="G33" i="4"/>
  <c r="D33" i="4"/>
  <c r="R32" i="4"/>
  <c r="Q32" i="4"/>
  <c r="P32" i="4"/>
  <c r="M32" i="4"/>
  <c r="J32" i="4"/>
  <c r="G32" i="4"/>
  <c r="D32" i="4"/>
  <c r="R31" i="4"/>
  <c r="Q31" i="4"/>
  <c r="P31" i="4"/>
  <c r="M31" i="4"/>
  <c r="J31" i="4"/>
  <c r="G31" i="4"/>
  <c r="D31" i="4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5" i="5"/>
  <c r="O21" i="5"/>
  <c r="N21" i="5"/>
  <c r="L21" i="5"/>
  <c r="K21" i="5"/>
  <c r="Q21" i="5" s="1"/>
  <c r="I21" i="5"/>
  <c r="R21" i="5" s="1"/>
  <c r="H21" i="5"/>
  <c r="F21" i="5"/>
  <c r="E21" i="5"/>
  <c r="C21" i="5"/>
  <c r="B21" i="5"/>
  <c r="P20" i="5"/>
  <c r="M20" i="5"/>
  <c r="J20" i="5"/>
  <c r="G20" i="5"/>
  <c r="D20" i="5"/>
  <c r="P19" i="5"/>
  <c r="M19" i="5"/>
  <c r="J19" i="5"/>
  <c r="G19" i="5"/>
  <c r="D19" i="5"/>
  <c r="P18" i="5"/>
  <c r="M18" i="5"/>
  <c r="J18" i="5"/>
  <c r="G18" i="5"/>
  <c r="D18" i="5"/>
  <c r="P17" i="5"/>
  <c r="M17" i="5"/>
  <c r="J17" i="5"/>
  <c r="G17" i="5"/>
  <c r="D17" i="5"/>
  <c r="P16" i="5"/>
  <c r="M16" i="5"/>
  <c r="J16" i="5"/>
  <c r="G16" i="5"/>
  <c r="D16" i="5"/>
  <c r="P15" i="5"/>
  <c r="M15" i="5"/>
  <c r="J15" i="5"/>
  <c r="G15" i="5"/>
  <c r="D15" i="5"/>
  <c r="P14" i="5"/>
  <c r="M14" i="5"/>
  <c r="J14" i="5"/>
  <c r="G14" i="5"/>
  <c r="D14" i="5"/>
  <c r="P13" i="5"/>
  <c r="M13" i="5"/>
  <c r="J13" i="5"/>
  <c r="G13" i="5"/>
  <c r="D13" i="5"/>
  <c r="P12" i="5"/>
  <c r="M12" i="5"/>
  <c r="J12" i="5"/>
  <c r="G12" i="5"/>
  <c r="D12" i="5"/>
  <c r="P11" i="5"/>
  <c r="M11" i="5"/>
  <c r="J11" i="5"/>
  <c r="G11" i="5"/>
  <c r="D11" i="5"/>
  <c r="P10" i="5"/>
  <c r="M10" i="5"/>
  <c r="J10" i="5"/>
  <c r="G10" i="5"/>
  <c r="D10" i="5"/>
  <c r="P9" i="5"/>
  <c r="M9" i="5"/>
  <c r="J9" i="5"/>
  <c r="G9" i="5"/>
  <c r="D9" i="5"/>
  <c r="P8" i="5"/>
  <c r="M8" i="5"/>
  <c r="J8" i="5"/>
  <c r="G8" i="5"/>
  <c r="D8" i="5"/>
  <c r="P7" i="5"/>
  <c r="M7" i="5"/>
  <c r="J7" i="5"/>
  <c r="G7" i="5"/>
  <c r="D7" i="5"/>
  <c r="P6" i="5"/>
  <c r="M6" i="5"/>
  <c r="J6" i="5"/>
  <c r="G6" i="5"/>
  <c r="D6" i="5"/>
  <c r="P5" i="5"/>
  <c r="M5" i="5"/>
  <c r="J5" i="5"/>
  <c r="G5" i="5"/>
  <c r="D5" i="5"/>
  <c r="S44" i="4" l="1"/>
  <c r="S46" i="4"/>
  <c r="T39" i="4"/>
  <c r="S37" i="4"/>
  <c r="S40" i="4"/>
  <c r="T41" i="4"/>
  <c r="R47" i="4"/>
  <c r="S47" i="4" s="1"/>
  <c r="T43" i="4"/>
  <c r="T46" i="4"/>
  <c r="T35" i="4"/>
  <c r="S33" i="4"/>
  <c r="T36" i="4"/>
  <c r="J47" i="4"/>
  <c r="T37" i="4"/>
  <c r="S32" i="4"/>
  <c r="G47" i="4"/>
  <c r="M47" i="4"/>
  <c r="T38" i="4"/>
  <c r="T34" i="4"/>
  <c r="T42" i="4"/>
  <c r="T33" i="4"/>
  <c r="T31" i="4"/>
  <c r="P47" i="4"/>
  <c r="S35" i="4"/>
  <c r="D47" i="4"/>
  <c r="S38" i="4"/>
  <c r="T44" i="4"/>
  <c r="S42" i="4"/>
  <c r="S36" i="4"/>
  <c r="S31" i="4"/>
  <c r="T40" i="4"/>
  <c r="S34" i="4"/>
  <c r="T32" i="4"/>
  <c r="S41" i="4"/>
  <c r="S39" i="4"/>
  <c r="S43" i="4"/>
  <c r="T5" i="5"/>
  <c r="T8" i="5"/>
  <c r="T13" i="5"/>
  <c r="G21" i="5"/>
  <c r="P21" i="5"/>
  <c r="T18" i="5"/>
  <c r="T17" i="5"/>
  <c r="T16" i="5"/>
  <c r="T14" i="5"/>
  <c r="M21" i="5"/>
  <c r="T6" i="5"/>
  <c r="S12" i="5"/>
  <c r="J21" i="5"/>
  <c r="S10" i="5"/>
  <c r="S15" i="5"/>
  <c r="T19" i="5"/>
  <c r="T11" i="5"/>
  <c r="T20" i="5"/>
  <c r="T9" i="5"/>
  <c r="S7" i="5"/>
  <c r="T7" i="5"/>
  <c r="T21" i="5"/>
  <c r="S21" i="5"/>
  <c r="S19" i="5"/>
  <c r="S9" i="5"/>
  <c r="S13" i="5"/>
  <c r="T15" i="5"/>
  <c r="S8" i="5"/>
  <c r="S18" i="5"/>
  <c r="T10" i="5"/>
  <c r="T12" i="5"/>
  <c r="S14" i="5"/>
  <c r="D21" i="5"/>
  <c r="S6" i="5"/>
  <c r="S17" i="5"/>
  <c r="S16" i="5"/>
  <c r="S11" i="5"/>
  <c r="S20" i="5"/>
  <c r="S5" i="5"/>
  <c r="T47" i="4" l="1"/>
  <c r="R6" i="4" l="1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5" i="4"/>
  <c r="O21" i="4"/>
  <c r="N21" i="4"/>
  <c r="L21" i="4"/>
  <c r="K21" i="4"/>
  <c r="I21" i="4"/>
  <c r="H21" i="4"/>
  <c r="F21" i="4"/>
  <c r="E21" i="4"/>
  <c r="C21" i="4"/>
  <c r="B21" i="4"/>
  <c r="P20" i="4"/>
  <c r="M20" i="4"/>
  <c r="J20" i="4"/>
  <c r="G20" i="4"/>
  <c r="D20" i="4"/>
  <c r="P19" i="4"/>
  <c r="M19" i="4"/>
  <c r="J19" i="4"/>
  <c r="G19" i="4"/>
  <c r="D19" i="4"/>
  <c r="P18" i="4"/>
  <c r="M18" i="4"/>
  <c r="J18" i="4"/>
  <c r="G18" i="4"/>
  <c r="D18" i="4"/>
  <c r="P17" i="4"/>
  <c r="M17" i="4"/>
  <c r="J17" i="4"/>
  <c r="G17" i="4"/>
  <c r="D17" i="4"/>
  <c r="P16" i="4"/>
  <c r="M16" i="4"/>
  <c r="J16" i="4"/>
  <c r="G16" i="4"/>
  <c r="D16" i="4"/>
  <c r="P15" i="4"/>
  <c r="M15" i="4"/>
  <c r="J15" i="4"/>
  <c r="G15" i="4"/>
  <c r="D15" i="4"/>
  <c r="P14" i="4"/>
  <c r="M14" i="4"/>
  <c r="J14" i="4"/>
  <c r="G14" i="4"/>
  <c r="D14" i="4"/>
  <c r="P13" i="4"/>
  <c r="M13" i="4"/>
  <c r="J13" i="4"/>
  <c r="G13" i="4"/>
  <c r="D13" i="4"/>
  <c r="P12" i="4"/>
  <c r="M12" i="4"/>
  <c r="J12" i="4"/>
  <c r="G12" i="4"/>
  <c r="D12" i="4"/>
  <c r="P11" i="4"/>
  <c r="M11" i="4"/>
  <c r="J11" i="4"/>
  <c r="G11" i="4"/>
  <c r="D11" i="4"/>
  <c r="P10" i="4"/>
  <c r="M10" i="4"/>
  <c r="J10" i="4"/>
  <c r="G10" i="4"/>
  <c r="D10" i="4"/>
  <c r="P9" i="4"/>
  <c r="M9" i="4"/>
  <c r="J9" i="4"/>
  <c r="G9" i="4"/>
  <c r="D9" i="4"/>
  <c r="P8" i="4"/>
  <c r="M8" i="4"/>
  <c r="J8" i="4"/>
  <c r="G8" i="4"/>
  <c r="D8" i="4"/>
  <c r="P7" i="4"/>
  <c r="M7" i="4"/>
  <c r="J7" i="4"/>
  <c r="G7" i="4"/>
  <c r="D7" i="4"/>
  <c r="P6" i="4"/>
  <c r="M6" i="4"/>
  <c r="J6" i="4"/>
  <c r="G6" i="4"/>
  <c r="D6" i="4"/>
  <c r="P5" i="4"/>
  <c r="M5" i="4"/>
  <c r="J5" i="4"/>
  <c r="G5" i="4"/>
  <c r="D5" i="4"/>
  <c r="S5" i="4" l="1"/>
  <c r="R21" i="4"/>
  <c r="S7" i="4"/>
  <c r="Q21" i="4"/>
  <c r="T14" i="4"/>
  <c r="D21" i="4"/>
  <c r="T5" i="4"/>
  <c r="T8" i="4"/>
  <c r="T12" i="4"/>
  <c r="T10" i="4"/>
  <c r="S20" i="4"/>
  <c r="J21" i="4"/>
  <c r="T11" i="4"/>
  <c r="T9" i="4"/>
  <c r="T19" i="4"/>
  <c r="M21" i="4"/>
  <c r="T16" i="4"/>
  <c r="S14" i="4"/>
  <c r="T18" i="4"/>
  <c r="T6" i="4"/>
  <c r="S17" i="4"/>
  <c r="G21" i="4"/>
  <c r="T15" i="4"/>
  <c r="T13" i="4"/>
  <c r="P21" i="4"/>
  <c r="S16" i="4"/>
  <c r="T7" i="4"/>
  <c r="S9" i="4"/>
  <c r="S19" i="4"/>
  <c r="S13" i="4"/>
  <c r="S15" i="4"/>
  <c r="S6" i="4"/>
  <c r="S8" i="4"/>
  <c r="T17" i="4"/>
  <c r="S18" i="4"/>
  <c r="S12" i="4"/>
  <c r="T20" i="4"/>
  <c r="S11" i="4"/>
  <c r="S10" i="4"/>
  <c r="F4" i="3"/>
  <c r="S21" i="4" l="1"/>
  <c r="T21" i="4"/>
  <c r="G9" i="3"/>
  <c r="F9" i="3"/>
  <c r="G4" i="3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C21" i="1"/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4" i="1"/>
  <c r="X5" i="1"/>
  <c r="Z5" i="1" s="1"/>
  <c r="X6" i="1"/>
  <c r="Z6" i="1" s="1"/>
  <c r="X7" i="1"/>
  <c r="Z7" i="1" s="1"/>
  <c r="X8" i="1"/>
  <c r="Z8" i="1" s="1"/>
  <c r="X9" i="1"/>
  <c r="X10" i="1"/>
  <c r="X11" i="1"/>
  <c r="X12" i="1"/>
  <c r="Z12" i="1" s="1"/>
  <c r="X13" i="1"/>
  <c r="Z13" i="1" s="1"/>
  <c r="X14" i="1"/>
  <c r="Z14" i="1" s="1"/>
  <c r="X15" i="1"/>
  <c r="X16" i="1"/>
  <c r="X17" i="1"/>
  <c r="Z17" i="1" s="1"/>
  <c r="X18" i="1"/>
  <c r="Z18" i="1" s="1"/>
  <c r="X19" i="1"/>
  <c r="Z19" i="1" s="1"/>
  <c r="X20" i="1"/>
  <c r="Z20" i="1" s="1"/>
  <c r="F21" i="1"/>
  <c r="Z10" i="1" l="1"/>
  <c r="Z9" i="1"/>
  <c r="Z15" i="1"/>
  <c r="Z16" i="1"/>
  <c r="Z11" i="1"/>
  <c r="P21" i="1"/>
  <c r="Y4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E11" i="2"/>
  <c r="E12" i="2"/>
  <c r="E13" i="2"/>
  <c r="E14" i="2"/>
  <c r="E15" i="2"/>
  <c r="E16" i="2"/>
  <c r="E17" i="2"/>
  <c r="E18" i="2"/>
  <c r="E19" i="2"/>
  <c r="E20" i="2"/>
  <c r="E5" i="2"/>
  <c r="E6" i="2"/>
  <c r="E7" i="2"/>
  <c r="E8" i="2"/>
  <c r="E9" i="2"/>
  <c r="E10" i="2"/>
  <c r="Y10" i="2" l="1"/>
  <c r="T5" i="1" l="1"/>
  <c r="T6" i="1"/>
  <c r="T7" i="1"/>
  <c r="T4" i="1"/>
  <c r="T17" i="1"/>
  <c r="T18" i="1"/>
  <c r="T19" i="1"/>
  <c r="T20" i="1"/>
  <c r="T15" i="1"/>
  <c r="T9" i="1"/>
  <c r="T10" i="1"/>
  <c r="T11" i="1"/>
  <c r="T12" i="1"/>
  <c r="T13" i="1"/>
  <c r="Q11" i="1"/>
  <c r="N17" i="2"/>
  <c r="N18" i="2"/>
  <c r="N19" i="2"/>
  <c r="N20" i="2"/>
  <c r="N6" i="2"/>
  <c r="N7" i="2"/>
  <c r="N8" i="2"/>
  <c r="N9" i="2"/>
  <c r="N10" i="2"/>
  <c r="N11" i="2"/>
  <c r="N12" i="2"/>
  <c r="N13" i="2"/>
  <c r="N14" i="2"/>
  <c r="N15" i="2"/>
  <c r="N5" i="2"/>
  <c r="K9" i="2"/>
  <c r="K5" i="2"/>
  <c r="K6" i="2"/>
  <c r="K7" i="2"/>
  <c r="H7" i="2"/>
  <c r="H17" i="2"/>
  <c r="H19" i="2"/>
  <c r="K19" i="2"/>
  <c r="T17" i="2" l="1"/>
  <c r="T18" i="2"/>
  <c r="T19" i="2"/>
  <c r="T20" i="2"/>
  <c r="T15" i="2"/>
  <c r="T9" i="2"/>
  <c r="T10" i="2"/>
  <c r="T11" i="2"/>
  <c r="T12" i="2"/>
  <c r="T13" i="2"/>
  <c r="T5" i="2"/>
  <c r="T6" i="2"/>
  <c r="T7" i="2"/>
  <c r="T4" i="2"/>
  <c r="W5" i="2"/>
  <c r="V21" i="2"/>
  <c r="U21" i="2"/>
  <c r="S21" i="2"/>
  <c r="R21" i="2"/>
  <c r="P21" i="2"/>
  <c r="O21" i="2"/>
  <c r="M21" i="2"/>
  <c r="L21" i="2"/>
  <c r="J21" i="2"/>
  <c r="I21" i="2"/>
  <c r="G21" i="2"/>
  <c r="F21" i="2"/>
  <c r="D21" i="2"/>
  <c r="C21" i="2"/>
  <c r="Y20" i="2"/>
  <c r="X20" i="2"/>
  <c r="Q20" i="2"/>
  <c r="Y19" i="2"/>
  <c r="X19" i="2"/>
  <c r="Q19" i="2"/>
  <c r="Y18" i="2"/>
  <c r="X18" i="2"/>
  <c r="Q18" i="2"/>
  <c r="K18" i="2"/>
  <c r="H18" i="2"/>
  <c r="Y17" i="2"/>
  <c r="X17" i="2"/>
  <c r="Q17" i="2"/>
  <c r="K17" i="2"/>
  <c r="Y16" i="2"/>
  <c r="X16" i="2"/>
  <c r="T16" i="2"/>
  <c r="Q16" i="2"/>
  <c r="N16" i="2"/>
  <c r="K16" i="2"/>
  <c r="H16" i="2"/>
  <c r="Y15" i="2"/>
  <c r="X15" i="2"/>
  <c r="K15" i="2"/>
  <c r="H15" i="2"/>
  <c r="Y14" i="2"/>
  <c r="X14" i="2"/>
  <c r="T14" i="2"/>
  <c r="Q14" i="2"/>
  <c r="K14" i="2"/>
  <c r="H14" i="2"/>
  <c r="Y13" i="2"/>
  <c r="X13" i="2"/>
  <c r="Q13" i="2"/>
  <c r="K13" i="2"/>
  <c r="H13" i="2"/>
  <c r="Y12" i="2"/>
  <c r="X12" i="2"/>
  <c r="Q12" i="2"/>
  <c r="K12" i="2"/>
  <c r="H12" i="2"/>
  <c r="Y11" i="2"/>
  <c r="X11" i="2"/>
  <c r="Q11" i="2"/>
  <c r="K11" i="2"/>
  <c r="H11" i="2"/>
  <c r="X10" i="2"/>
  <c r="Q10" i="2"/>
  <c r="K10" i="2"/>
  <c r="H10" i="2"/>
  <c r="Y9" i="2"/>
  <c r="X9" i="2"/>
  <c r="Q9" i="2"/>
  <c r="H9" i="2"/>
  <c r="Y8" i="2"/>
  <c r="X8" i="2"/>
  <c r="T8" i="2"/>
  <c r="Q8" i="2"/>
  <c r="K8" i="2"/>
  <c r="H8" i="2"/>
  <c r="Y7" i="2"/>
  <c r="W7" i="2"/>
  <c r="Q7" i="2"/>
  <c r="Y6" i="2"/>
  <c r="X6" i="2"/>
  <c r="W6" i="2"/>
  <c r="Q6" i="2"/>
  <c r="H6" i="2"/>
  <c r="Y5" i="2"/>
  <c r="X5" i="2"/>
  <c r="Q5" i="2"/>
  <c r="H5" i="2"/>
  <c r="X4" i="2"/>
  <c r="W4" i="2"/>
  <c r="Q4" i="2"/>
  <c r="N4" i="2"/>
  <c r="K4" i="2"/>
  <c r="H4" i="2"/>
  <c r="E4" i="2"/>
  <c r="AA11" i="2" l="1"/>
  <c r="AA12" i="2"/>
  <c r="AA14" i="2"/>
  <c r="AA7" i="2"/>
  <c r="AA16" i="2"/>
  <c r="Z19" i="2"/>
  <c r="Z6" i="2"/>
  <c r="Z17" i="2"/>
  <c r="Z13" i="2"/>
  <c r="Z14" i="2"/>
  <c r="Z5" i="2"/>
  <c r="Z15" i="2"/>
  <c r="Z10" i="2"/>
  <c r="H21" i="2"/>
  <c r="Z12" i="2"/>
  <c r="Z18" i="2"/>
  <c r="K21" i="2"/>
  <c r="W21" i="2"/>
  <c r="Z8" i="2"/>
  <c r="E21" i="2"/>
  <c r="Q21" i="2"/>
  <c r="T21" i="2"/>
  <c r="Z11" i="2"/>
  <c r="X21" i="2"/>
  <c r="Z16" i="2"/>
  <c r="N21" i="2"/>
  <c r="Z7" i="2"/>
  <c r="Z20" i="2"/>
  <c r="Z9" i="2"/>
  <c r="Z4" i="2"/>
  <c r="Y21" i="2"/>
  <c r="W5" i="1"/>
  <c r="W6" i="1"/>
  <c r="W7" i="1"/>
  <c r="W19" i="1"/>
  <c r="W20" i="1"/>
  <c r="AA21" i="2" l="1"/>
  <c r="Z21" i="2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H12" i="1"/>
  <c r="H13" i="1"/>
  <c r="H14" i="1"/>
  <c r="H15" i="1"/>
  <c r="H16" i="1"/>
  <c r="H17" i="1"/>
  <c r="H18" i="1"/>
  <c r="H19" i="1"/>
  <c r="H20" i="1"/>
  <c r="H4" i="1"/>
  <c r="H5" i="1"/>
  <c r="H6" i="1"/>
  <c r="H7" i="1"/>
  <c r="H8" i="1"/>
  <c r="H9" i="1"/>
  <c r="H10" i="1"/>
  <c r="W8" i="1"/>
  <c r="W9" i="1"/>
  <c r="W10" i="1"/>
  <c r="W11" i="1"/>
  <c r="W12" i="1"/>
  <c r="W13" i="1"/>
  <c r="W14" i="1"/>
  <c r="W15" i="1"/>
  <c r="W16" i="1"/>
  <c r="W17" i="1"/>
  <c r="W18" i="1"/>
  <c r="W4" i="1"/>
  <c r="AA15" i="1" l="1"/>
  <c r="V21" i="1"/>
  <c r="S21" i="1"/>
  <c r="R21" i="1"/>
  <c r="M21" i="1"/>
  <c r="L21" i="1"/>
  <c r="G21" i="1"/>
  <c r="D21" i="1"/>
  <c r="E21" i="1" s="1"/>
  <c r="T16" i="1"/>
  <c r="T14" i="1"/>
  <c r="H11" i="1"/>
  <c r="AA10" i="1"/>
  <c r="T8" i="1"/>
  <c r="O21" i="1"/>
  <c r="X4" i="1"/>
  <c r="Q4" i="1"/>
  <c r="N4" i="1"/>
  <c r="K4" i="1"/>
  <c r="E4" i="1"/>
  <c r="AA19" i="1" l="1"/>
  <c r="AA12" i="1"/>
  <c r="AA18" i="1"/>
  <c r="AA17" i="1"/>
  <c r="AA14" i="1"/>
  <c r="AA13" i="1"/>
  <c r="AA11" i="1"/>
  <c r="AA5" i="1"/>
  <c r="Y21" i="1"/>
  <c r="AA4" i="1"/>
  <c r="AA20" i="1"/>
  <c r="N21" i="1"/>
  <c r="H21" i="1"/>
  <c r="Q21" i="1"/>
  <c r="Z4" i="1"/>
  <c r="T21" i="1"/>
  <c r="AA7" i="1"/>
  <c r="I21" i="1"/>
  <c r="AA6" i="1"/>
  <c r="AA9" i="1"/>
  <c r="U21" i="1"/>
  <c r="W21" i="1" s="1"/>
  <c r="X21" i="1" l="1"/>
  <c r="Z21" i="1" s="1"/>
  <c r="AA8" i="1"/>
  <c r="AA16" i="1"/>
  <c r="J21" i="1"/>
  <c r="K21" i="1" s="1"/>
  <c r="AA21" i="1" l="1"/>
</calcChain>
</file>

<file path=xl/sharedStrings.xml><?xml version="1.0" encoding="utf-8"?>
<sst xmlns="http://schemas.openxmlformats.org/spreadsheetml/2006/main" count="270" uniqueCount="77">
  <si>
    <t>Plan Head</t>
  </si>
  <si>
    <t>Traffic facility</t>
  </si>
  <si>
    <t>Computerization</t>
  </si>
  <si>
    <t>Level crossing</t>
  </si>
  <si>
    <t>Road over/under Bridge</t>
  </si>
  <si>
    <t>Track renewal</t>
  </si>
  <si>
    <t>Bridge work</t>
  </si>
  <si>
    <t>S&amp;T</t>
  </si>
  <si>
    <t>Other electric works</t>
  </si>
  <si>
    <t>Traction Dist. works</t>
  </si>
  <si>
    <t>Machine and plants</t>
  </si>
  <si>
    <t>Workshop</t>
  </si>
  <si>
    <t>Inv. In Govt. comm Public Un.</t>
  </si>
  <si>
    <t>Other specified works</t>
  </si>
  <si>
    <t>OSW (nirbhaya Fund)</t>
  </si>
  <si>
    <t>Training/HRD</t>
  </si>
  <si>
    <t>Total</t>
  </si>
  <si>
    <t>Plan head Name</t>
  </si>
  <si>
    <t>CAP</t>
  </si>
  <si>
    <t>DRF</t>
  </si>
  <si>
    <t>DF</t>
  </si>
  <si>
    <t>RRSK</t>
  </si>
  <si>
    <t>TOTAL</t>
  </si>
  <si>
    <t>AE</t>
  </si>
  <si>
    <t xml:space="preserve">VAR </t>
  </si>
  <si>
    <t>Copy Forwarded to :-</t>
  </si>
  <si>
    <t>1. Sr. DEN (C )</t>
  </si>
  <si>
    <t>For Sr.Divisional Finance Manager</t>
  </si>
  <si>
    <t>2. Sr. DEE (G &amp; TRD)</t>
  </si>
  <si>
    <t>Northern Railway, Moradabad</t>
  </si>
  <si>
    <t>VAR</t>
  </si>
  <si>
    <t>CAPITAL FUND</t>
  </si>
  <si>
    <t>S FUND</t>
  </si>
  <si>
    <t>EBR-(S)</t>
  </si>
  <si>
    <t>Customer(Passenger) amenities</t>
  </si>
  <si>
    <t>Staff Welfare</t>
  </si>
  <si>
    <t>`</t>
  </si>
  <si>
    <t>% VAR</t>
  </si>
  <si>
    <t>RBA</t>
  </si>
  <si>
    <t xml:space="preserve">Traffic facility </t>
  </si>
  <si>
    <t>Work Transfer</t>
  </si>
  <si>
    <t>Work Transfer to dy. CST/Project</t>
  </si>
  <si>
    <t>Work Transfer to Dy.CST/Project</t>
  </si>
  <si>
    <t>PH-16</t>
  </si>
  <si>
    <t>TC raise by Akshay gupta and adjustment by jv no-030732501617 dt 05.03.2026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</si>
  <si>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Actual.  Expenditure of Demand 16 GSU as on  31.03.2026  (Fig.in Thousand)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</si>
  <si>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March 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</si>
  <si>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t>FBA</t>
  </si>
  <si>
    <t>SBA (2026-27)</t>
  </si>
  <si>
    <t>SBA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</si>
  <si>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PH 16upto March 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</si>
  <si>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PH 16upto May 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</si>
  <si>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t>DRF (21)</t>
  </si>
  <si>
    <t>DF (I,II,III,IV)</t>
  </si>
  <si>
    <t>S FUND (26)</t>
  </si>
  <si>
    <t>RRSK (29)</t>
  </si>
  <si>
    <t>1700 (Computeriztion)</t>
  </si>
  <si>
    <t>2900 (Level crossing)</t>
  </si>
  <si>
    <t>6400 (OSW)</t>
  </si>
  <si>
    <t>6500 (Training/HRD)</t>
  </si>
  <si>
    <t>1600                     (Traffice facility)</t>
  </si>
  <si>
    <t>3000        (ROB/RUB)</t>
  </si>
  <si>
    <t>3100                     (Track Renewal)</t>
  </si>
  <si>
    <t>3200             (Bridge work)</t>
  </si>
  <si>
    <t>3300                   (S&amp;T)</t>
  </si>
  <si>
    <t>3600                   (Other electric works)</t>
  </si>
  <si>
    <t>3700                   (TRD Work)</t>
  </si>
  <si>
    <t>4100                          (M &amp;P)</t>
  </si>
  <si>
    <t>4200                    (Work Shop)</t>
  </si>
  <si>
    <t>5100                        (Staff Welfare)</t>
  </si>
  <si>
    <t>5300             (customer Amenities)</t>
  </si>
  <si>
    <t>OSW                (Nirbhaya)</t>
  </si>
  <si>
    <t>Plan Head/ Name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</si>
  <si>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as on  18.05.2026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</si>
  <si>
    <t>CAP (20)</t>
  </si>
  <si>
    <t xml:space="preserve">                                                               PH wise &amp; Fund wise expenditure of Demand 16 upto 31 May 2026 FY-2026-27  (Fig.in Thousand)                                                                                                                                           </t>
  </si>
  <si>
    <r>
      <rPr>
        <b/>
        <sz val="16"/>
        <color theme="1"/>
        <rFont val="Calibri"/>
        <family val="2"/>
        <scheme val="minor"/>
      </rPr>
      <t xml:space="preserve">                                                               PH wise &amp; Fund wise expenditure</t>
    </r>
    <r>
      <rPr>
        <b/>
        <u/>
        <sz val="16"/>
        <color theme="1"/>
        <rFont val="Calibri"/>
        <family val="2"/>
        <scheme val="minor"/>
      </rPr>
      <t xml:space="preserve"> of Demand 16 upto March 2026 (FY-2025-26 )      (Fig.in Thousand)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</si>
</sst>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6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/>
    <xf numFmtId="0" fontId="10" fillId="0" borderId="0" xfId="0" applyFont="1"/>
    <xf numFmtId="0" fontId="11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</cellXfs>
  <cellStyles count="1065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Normal" xfId="0" builtinId="0"/>
    <cellStyle name="Normal 2" xfId="2"/>
    <cellStyle name="Normal 2 2" xfId="3"/>
    <cellStyle name="Normal 3" xfId="4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T57"/>
  <sheetViews>
    <sheetView zoomScale="85" zoomScaleNormal="85" workbookViewId="0">
      <selection sqref="A1:AA27"/>
    </sheetView>
  </sheetViews>
  <sheetFormatPr defaultRowHeight="15" x14ac:dyDescent="0.25"/>
  <cols>
    <col min="1" max="1" width="7" customWidth="1"/>
    <col min="2" max="2" width="23.5703125" customWidth="1"/>
    <col min="3" max="3" width="9.28515625" customWidth="1"/>
    <col min="4" max="4" width="8.28515625" customWidth="1"/>
    <col min="5" max="5" width="9.140625" customWidth="1"/>
    <col min="6" max="6" width="7.7109375" customWidth="1"/>
    <col min="7" max="7" width="7" customWidth="1"/>
    <col min="8" max="8" width="8" customWidth="1"/>
    <col min="9" max="10" width="8.140625" customWidth="1"/>
    <col min="11" max="11" width="8.5703125" customWidth="1"/>
    <col min="12" max="12" width="6.7109375" customWidth="1"/>
    <col min="13" max="13" width="6.5703125" customWidth="1"/>
    <col min="14" max="14" width="7.140625" customWidth="1"/>
    <col min="15" max="16" width="9" customWidth="1"/>
    <col min="17" max="17" width="9.5703125" customWidth="1"/>
    <col min="18" max="18" width="5.28515625" customWidth="1"/>
    <col min="19" max="19" width="5.7109375" customWidth="1"/>
    <col min="20" max="20" width="6.42578125" customWidth="1"/>
    <col min="21" max="21" width="9.140625" customWidth="1"/>
    <col min="22" max="23" width="9.42578125" customWidth="1"/>
    <col min="24" max="24" width="9.85546875" customWidth="1"/>
    <col min="25" max="25" width="9.28515625" customWidth="1"/>
    <col min="26" max="26" width="10.42578125" customWidth="1"/>
    <col min="27" max="27" width="12.28515625" bestFit="1" customWidth="1"/>
  </cols>
  <sheetData>
    <row r="1" spans="1:244" ht="18" customHeight="1" x14ac:dyDescent="0.25">
      <c r="A1" s="45" t="s">
        <v>46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 spans="1:244" ht="32.25" customHeight="1" x14ac:dyDescent="0.25">
      <c r="A2" s="50" t="s">
        <v>0</v>
      </c>
      <c r="B2" s="50" t="s">
        <v>17</v>
      </c>
      <c r="C2" s="47" t="s">
        <v>18</v>
      </c>
      <c r="D2" s="49"/>
      <c r="E2" s="48"/>
      <c r="F2" s="47" t="s">
        <v>19</v>
      </c>
      <c r="G2" s="49"/>
      <c r="H2" s="48"/>
      <c r="I2" s="47" t="s">
        <v>20</v>
      </c>
      <c r="J2" s="49"/>
      <c r="K2" s="48"/>
      <c r="L2" s="47" t="s">
        <v>31</v>
      </c>
      <c r="M2" s="49"/>
      <c r="N2" s="48"/>
      <c r="O2" s="47" t="s">
        <v>32</v>
      </c>
      <c r="P2" s="49"/>
      <c r="Q2" s="48"/>
      <c r="R2" s="47" t="s">
        <v>33</v>
      </c>
      <c r="S2" s="49"/>
      <c r="T2" s="48"/>
      <c r="U2" s="47" t="s">
        <v>21</v>
      </c>
      <c r="V2" s="49"/>
      <c r="W2" s="48"/>
      <c r="X2" s="44" t="s">
        <v>22</v>
      </c>
      <c r="Y2" s="44"/>
      <c r="Z2" s="44"/>
      <c r="AA2" s="44"/>
    </row>
    <row r="3" spans="1:244" ht="32.25" customHeight="1" x14ac:dyDescent="0.25">
      <c r="A3" s="51"/>
      <c r="B3" s="51"/>
      <c r="C3" s="5" t="s">
        <v>47</v>
      </c>
      <c r="D3" s="5" t="s">
        <v>23</v>
      </c>
      <c r="E3" s="2" t="s">
        <v>24</v>
      </c>
      <c r="F3" s="5" t="s">
        <v>47</v>
      </c>
      <c r="G3" s="5" t="s">
        <v>23</v>
      </c>
      <c r="H3" s="2" t="s">
        <v>24</v>
      </c>
      <c r="I3" s="5" t="s">
        <v>47</v>
      </c>
      <c r="J3" s="5" t="s">
        <v>23</v>
      </c>
      <c r="K3" s="2" t="s">
        <v>24</v>
      </c>
      <c r="L3" s="5" t="s">
        <v>47</v>
      </c>
      <c r="M3" s="5" t="s">
        <v>23</v>
      </c>
      <c r="N3" s="2" t="s">
        <v>24</v>
      </c>
      <c r="O3" s="5" t="s">
        <v>47</v>
      </c>
      <c r="P3" s="5" t="s">
        <v>23</v>
      </c>
      <c r="Q3" s="2" t="s">
        <v>24</v>
      </c>
      <c r="R3" s="5" t="s">
        <v>47</v>
      </c>
      <c r="S3" s="2" t="s">
        <v>23</v>
      </c>
      <c r="T3" s="2" t="s">
        <v>30</v>
      </c>
      <c r="U3" s="5" t="s">
        <v>47</v>
      </c>
      <c r="V3" s="5" t="s">
        <v>23</v>
      </c>
      <c r="W3" s="2" t="s">
        <v>24</v>
      </c>
      <c r="X3" s="5" t="s">
        <v>47</v>
      </c>
      <c r="Y3" s="5" t="s">
        <v>23</v>
      </c>
      <c r="Z3" s="2" t="s">
        <v>24</v>
      </c>
      <c r="AA3" s="5" t="s">
        <v>37</v>
      </c>
    </row>
    <row r="4" spans="1:244" s="4" customFormat="1" ht="32.25" customHeight="1" x14ac:dyDescent="0.25">
      <c r="A4" s="3">
        <v>1600</v>
      </c>
      <c r="B4" s="11" t="s">
        <v>1</v>
      </c>
      <c r="C4" s="12">
        <v>50430</v>
      </c>
      <c r="D4" s="13">
        <v>42702</v>
      </c>
      <c r="E4" s="14">
        <f>D4-C4</f>
        <v>-7728</v>
      </c>
      <c r="F4" s="11">
        <v>0</v>
      </c>
      <c r="G4" s="3">
        <v>0</v>
      </c>
      <c r="H4" s="14">
        <f t="shared" ref="H4:H10" si="0">G4-F4</f>
        <v>0</v>
      </c>
      <c r="I4" s="11">
        <v>0</v>
      </c>
      <c r="J4" s="3">
        <v>0</v>
      </c>
      <c r="K4" s="14">
        <f>J4-I4</f>
        <v>0</v>
      </c>
      <c r="L4" s="14">
        <v>0</v>
      </c>
      <c r="M4" s="14">
        <v>0</v>
      </c>
      <c r="N4" s="14">
        <f>M4-L4</f>
        <v>0</v>
      </c>
      <c r="O4" s="14">
        <v>0</v>
      </c>
      <c r="P4" s="15">
        <v>0</v>
      </c>
      <c r="Q4" s="14">
        <f>P4-O4</f>
        <v>0</v>
      </c>
      <c r="R4" s="14">
        <v>0</v>
      </c>
      <c r="S4" s="14">
        <v>0</v>
      </c>
      <c r="T4" s="7">
        <f t="shared" ref="T4:T7" si="1">S4-R4</f>
        <v>0</v>
      </c>
      <c r="U4" s="12">
        <v>0</v>
      </c>
      <c r="V4" s="13">
        <v>0</v>
      </c>
      <c r="W4" s="14">
        <f t="shared" ref="W4:W21" si="2">V4-U4</f>
        <v>0</v>
      </c>
      <c r="X4" s="12">
        <f t="shared" ref="X4:Y19" si="3">C4+F4+I4+L4+O4+U4+R4</f>
        <v>50430</v>
      </c>
      <c r="Y4" s="6">
        <f t="shared" si="3"/>
        <v>42702</v>
      </c>
      <c r="Z4" s="14">
        <f>Y4-X4</f>
        <v>-7728</v>
      </c>
      <c r="AA4" s="6">
        <f>Y4/X4*100</f>
        <v>84.675788221296841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244" ht="32.25" customHeight="1" x14ac:dyDescent="0.25">
      <c r="A5" s="1">
        <v>1700</v>
      </c>
      <c r="B5" s="2" t="s">
        <v>2</v>
      </c>
      <c r="C5" s="39">
        <v>108</v>
      </c>
      <c r="D5" s="6">
        <v>12015</v>
      </c>
      <c r="E5" s="14">
        <f t="shared" ref="E5:E21" si="4">D5-C5</f>
        <v>11907</v>
      </c>
      <c r="F5" s="5">
        <v>1577</v>
      </c>
      <c r="G5" s="1">
        <v>18831</v>
      </c>
      <c r="H5" s="7">
        <f t="shared" si="0"/>
        <v>17254</v>
      </c>
      <c r="I5" s="5">
        <v>10</v>
      </c>
      <c r="J5" s="6">
        <v>0</v>
      </c>
      <c r="K5" s="7">
        <f t="shared" ref="K5:K21" si="5">J5-I5</f>
        <v>-10</v>
      </c>
      <c r="L5" s="14">
        <v>0</v>
      </c>
      <c r="M5" s="14">
        <v>0</v>
      </c>
      <c r="N5" s="7">
        <f t="shared" ref="N5:N21" si="6">M5-L5</f>
        <v>0</v>
      </c>
      <c r="O5" s="7">
        <v>0</v>
      </c>
      <c r="P5" s="8">
        <v>0</v>
      </c>
      <c r="Q5" s="7">
        <f t="shared" ref="Q5:Q21" si="7">P5-O5</f>
        <v>0</v>
      </c>
      <c r="R5" s="7">
        <v>0</v>
      </c>
      <c r="S5" s="7">
        <v>0</v>
      </c>
      <c r="T5" s="7">
        <f t="shared" si="1"/>
        <v>0</v>
      </c>
      <c r="U5" s="5">
        <v>0</v>
      </c>
      <c r="V5" s="6">
        <v>0</v>
      </c>
      <c r="W5" s="7">
        <f t="shared" si="2"/>
        <v>0</v>
      </c>
      <c r="X5" s="12">
        <f t="shared" si="3"/>
        <v>1695</v>
      </c>
      <c r="Y5" s="6">
        <f t="shared" si="3"/>
        <v>30846</v>
      </c>
      <c r="Z5" s="14">
        <f t="shared" ref="Z5:Z20" si="8">Y5-X5</f>
        <v>29151</v>
      </c>
      <c r="AA5" s="6">
        <f t="shared" ref="AA5:AA21" si="9">Y5/X5*100</f>
        <v>1819.8230088495575</v>
      </c>
    </row>
    <row r="6" spans="1:244" ht="32.25" customHeight="1" x14ac:dyDescent="0.25">
      <c r="A6" s="1">
        <v>2900</v>
      </c>
      <c r="B6" s="2" t="s">
        <v>3</v>
      </c>
      <c r="C6" s="39">
        <v>0</v>
      </c>
      <c r="D6" s="6">
        <v>0</v>
      </c>
      <c r="E6" s="14">
        <f t="shared" si="4"/>
        <v>0</v>
      </c>
      <c r="F6" s="5">
        <v>0</v>
      </c>
      <c r="G6" s="6">
        <v>0</v>
      </c>
      <c r="H6" s="7">
        <f t="shared" si="0"/>
        <v>0</v>
      </c>
      <c r="I6" s="5">
        <v>0</v>
      </c>
      <c r="J6" s="6">
        <v>0</v>
      </c>
      <c r="K6" s="7">
        <f t="shared" si="5"/>
        <v>0</v>
      </c>
      <c r="L6" s="7">
        <v>0</v>
      </c>
      <c r="M6" s="14">
        <v>0</v>
      </c>
      <c r="N6" s="7">
        <f t="shared" si="6"/>
        <v>0</v>
      </c>
      <c r="O6" s="7">
        <v>137720</v>
      </c>
      <c r="P6" s="8">
        <v>137742</v>
      </c>
      <c r="Q6" s="7">
        <f t="shared" si="7"/>
        <v>22</v>
      </c>
      <c r="R6" s="14">
        <v>0</v>
      </c>
      <c r="S6" s="14">
        <v>0</v>
      </c>
      <c r="T6" s="7">
        <f t="shared" si="1"/>
        <v>0</v>
      </c>
      <c r="U6" s="5">
        <v>0</v>
      </c>
      <c r="V6" s="6">
        <v>0</v>
      </c>
      <c r="W6" s="7">
        <f t="shared" si="2"/>
        <v>0</v>
      </c>
      <c r="X6" s="12">
        <f t="shared" si="3"/>
        <v>137720</v>
      </c>
      <c r="Y6" s="6">
        <f t="shared" si="3"/>
        <v>137742</v>
      </c>
      <c r="Z6" s="14">
        <f t="shared" si="8"/>
        <v>22</v>
      </c>
      <c r="AA6" s="6">
        <f t="shared" si="9"/>
        <v>100.01597444089457</v>
      </c>
    </row>
    <row r="7" spans="1:244" ht="32.25" customHeight="1" x14ac:dyDescent="0.25">
      <c r="A7" s="1">
        <v>3000</v>
      </c>
      <c r="B7" s="2" t="s">
        <v>4</v>
      </c>
      <c r="C7" s="39">
        <v>0</v>
      </c>
      <c r="D7" s="6">
        <v>0</v>
      </c>
      <c r="E7" s="14">
        <f t="shared" si="4"/>
        <v>0</v>
      </c>
      <c r="F7" s="5">
        <v>0</v>
      </c>
      <c r="G7" s="6">
        <v>0</v>
      </c>
      <c r="H7" s="7">
        <f t="shared" si="0"/>
        <v>0</v>
      </c>
      <c r="I7" s="5">
        <v>0</v>
      </c>
      <c r="J7" s="6">
        <v>0</v>
      </c>
      <c r="K7" s="7">
        <f t="shared" si="5"/>
        <v>0</v>
      </c>
      <c r="L7" s="14">
        <v>0</v>
      </c>
      <c r="M7" s="14">
        <v>0</v>
      </c>
      <c r="N7" s="7">
        <f t="shared" si="6"/>
        <v>0</v>
      </c>
      <c r="O7" s="7">
        <v>352872</v>
      </c>
      <c r="P7" s="8">
        <v>313693</v>
      </c>
      <c r="Q7" s="7">
        <f t="shared" si="7"/>
        <v>-39179</v>
      </c>
      <c r="R7" s="7">
        <v>0</v>
      </c>
      <c r="S7" s="7">
        <v>0</v>
      </c>
      <c r="T7" s="7">
        <f t="shared" si="1"/>
        <v>0</v>
      </c>
      <c r="U7" s="5">
        <v>57475</v>
      </c>
      <c r="V7" s="6">
        <v>70694</v>
      </c>
      <c r="W7" s="7">
        <f t="shared" si="2"/>
        <v>13219</v>
      </c>
      <c r="X7" s="12">
        <f t="shared" si="3"/>
        <v>410347</v>
      </c>
      <c r="Y7" s="6">
        <f t="shared" si="3"/>
        <v>384387</v>
      </c>
      <c r="Z7" s="14">
        <f t="shared" si="8"/>
        <v>-25960</v>
      </c>
      <c r="AA7" s="6">
        <f t="shared" si="9"/>
        <v>93.673646937835542</v>
      </c>
    </row>
    <row r="8" spans="1:244" ht="32.25" customHeight="1" x14ac:dyDescent="0.25">
      <c r="A8" s="38">
        <v>3100</v>
      </c>
      <c r="B8" s="2" t="s">
        <v>5</v>
      </c>
      <c r="C8" s="39">
        <v>0</v>
      </c>
      <c r="D8" s="6">
        <v>0</v>
      </c>
      <c r="E8" s="14">
        <f t="shared" si="4"/>
        <v>0</v>
      </c>
      <c r="F8" s="5">
        <v>0</v>
      </c>
      <c r="G8" s="6">
        <v>0</v>
      </c>
      <c r="H8" s="7">
        <f t="shared" si="0"/>
        <v>0</v>
      </c>
      <c r="I8" s="5">
        <v>0</v>
      </c>
      <c r="J8" s="6">
        <v>0</v>
      </c>
      <c r="K8" s="7">
        <f t="shared" si="5"/>
        <v>0</v>
      </c>
      <c r="L8" s="14">
        <v>0</v>
      </c>
      <c r="M8" s="14">
        <v>0</v>
      </c>
      <c r="N8" s="7">
        <f t="shared" si="6"/>
        <v>0</v>
      </c>
      <c r="O8" s="7">
        <v>3846720</v>
      </c>
      <c r="P8" s="8">
        <v>5720905</v>
      </c>
      <c r="Q8" s="7">
        <f t="shared" si="7"/>
        <v>1874185</v>
      </c>
      <c r="R8" s="7">
        <v>0</v>
      </c>
      <c r="S8" s="7">
        <v>0</v>
      </c>
      <c r="T8" s="7">
        <f t="shared" ref="T8:T13" si="10">S8-R8</f>
        <v>0</v>
      </c>
      <c r="U8" s="5">
        <v>790214</v>
      </c>
      <c r="V8" s="6">
        <v>410467</v>
      </c>
      <c r="W8" s="7">
        <f t="shared" si="2"/>
        <v>-379747</v>
      </c>
      <c r="X8" s="12">
        <f t="shared" si="3"/>
        <v>4636934</v>
      </c>
      <c r="Y8" s="6">
        <f t="shared" si="3"/>
        <v>6131372</v>
      </c>
      <c r="Z8" s="14">
        <f t="shared" si="8"/>
        <v>1494438</v>
      </c>
      <c r="AA8" s="6">
        <f t="shared" si="9"/>
        <v>132.22901167021141</v>
      </c>
    </row>
    <row r="9" spans="1:244" s="4" customFormat="1" ht="32.25" customHeight="1" x14ac:dyDescent="0.25">
      <c r="A9" s="3">
        <v>3200</v>
      </c>
      <c r="B9" s="11" t="s">
        <v>6</v>
      </c>
      <c r="C9" s="11">
        <v>0</v>
      </c>
      <c r="D9" s="13">
        <v>0</v>
      </c>
      <c r="E9" s="14">
        <f t="shared" si="4"/>
        <v>0</v>
      </c>
      <c r="F9" s="12">
        <v>0</v>
      </c>
      <c r="G9" s="13">
        <v>0</v>
      </c>
      <c r="H9" s="14">
        <f t="shared" si="0"/>
        <v>0</v>
      </c>
      <c r="I9" s="12">
        <v>0</v>
      </c>
      <c r="J9" s="13">
        <v>0</v>
      </c>
      <c r="K9" s="14">
        <f t="shared" si="5"/>
        <v>0</v>
      </c>
      <c r="L9" s="14">
        <v>0</v>
      </c>
      <c r="M9" s="14">
        <v>0</v>
      </c>
      <c r="N9" s="14">
        <f t="shared" si="6"/>
        <v>0</v>
      </c>
      <c r="O9" s="14">
        <v>0</v>
      </c>
      <c r="P9" s="15">
        <v>0</v>
      </c>
      <c r="Q9" s="14">
        <f t="shared" si="7"/>
        <v>0</v>
      </c>
      <c r="R9" s="14">
        <v>0</v>
      </c>
      <c r="S9" s="14">
        <v>0</v>
      </c>
      <c r="T9" s="14">
        <f t="shared" si="10"/>
        <v>0</v>
      </c>
      <c r="U9" s="12">
        <v>118930</v>
      </c>
      <c r="V9" s="13">
        <v>134468</v>
      </c>
      <c r="W9" s="14">
        <f t="shared" si="2"/>
        <v>15538</v>
      </c>
      <c r="X9" s="12">
        <f t="shared" si="3"/>
        <v>118930</v>
      </c>
      <c r="Y9" s="6">
        <f t="shared" si="3"/>
        <v>134468</v>
      </c>
      <c r="Z9" s="14">
        <f t="shared" si="8"/>
        <v>15538</v>
      </c>
      <c r="AA9" s="6">
        <f t="shared" si="9"/>
        <v>113.0648280501135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</row>
    <row r="10" spans="1:244" s="4" customFormat="1" ht="32.25" customHeight="1" x14ac:dyDescent="0.25">
      <c r="A10" s="3">
        <v>3300</v>
      </c>
      <c r="B10" s="11" t="s">
        <v>7</v>
      </c>
      <c r="C10" s="11">
        <v>13170</v>
      </c>
      <c r="D10" s="13">
        <v>26760</v>
      </c>
      <c r="E10" s="14">
        <f t="shared" si="4"/>
        <v>13590</v>
      </c>
      <c r="F10" s="12">
        <v>0</v>
      </c>
      <c r="G10" s="13">
        <v>0</v>
      </c>
      <c r="H10" s="14">
        <f t="shared" si="0"/>
        <v>0</v>
      </c>
      <c r="I10" s="5">
        <v>0</v>
      </c>
      <c r="J10" s="13">
        <v>0</v>
      </c>
      <c r="K10" s="14">
        <f t="shared" si="5"/>
        <v>0</v>
      </c>
      <c r="L10" s="14">
        <v>0</v>
      </c>
      <c r="M10" s="14">
        <v>0</v>
      </c>
      <c r="N10" s="14">
        <f t="shared" si="6"/>
        <v>0</v>
      </c>
      <c r="O10" s="14">
        <v>0</v>
      </c>
      <c r="P10" s="15">
        <v>0</v>
      </c>
      <c r="Q10" s="14">
        <f t="shared" si="7"/>
        <v>0</v>
      </c>
      <c r="R10" s="7">
        <v>0</v>
      </c>
      <c r="S10" s="7">
        <v>0</v>
      </c>
      <c r="T10" s="7">
        <f t="shared" si="10"/>
        <v>0</v>
      </c>
      <c r="U10" s="11">
        <v>262678</v>
      </c>
      <c r="V10" s="13">
        <v>258193</v>
      </c>
      <c r="W10" s="14">
        <f t="shared" si="2"/>
        <v>-4485</v>
      </c>
      <c r="X10" s="12">
        <f t="shared" si="3"/>
        <v>275848</v>
      </c>
      <c r="Y10" s="6">
        <f t="shared" si="3"/>
        <v>284953</v>
      </c>
      <c r="Z10" s="14">
        <f t="shared" si="8"/>
        <v>9105</v>
      </c>
      <c r="AA10" s="6">
        <f t="shared" si="9"/>
        <v>103.3007308372727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</row>
    <row r="11" spans="1:244" ht="32.25" customHeight="1" x14ac:dyDescent="0.25">
      <c r="A11" s="1">
        <v>3600</v>
      </c>
      <c r="B11" s="9" t="s">
        <v>8</v>
      </c>
      <c r="C11" s="39">
        <v>88783</v>
      </c>
      <c r="D11" s="6">
        <v>84017</v>
      </c>
      <c r="E11" s="14">
        <f t="shared" si="4"/>
        <v>-4766</v>
      </c>
      <c r="F11" s="5">
        <v>0</v>
      </c>
      <c r="G11" s="6">
        <v>0</v>
      </c>
      <c r="H11" s="7">
        <f t="shared" ref="H11:H21" si="11">G11-F11</f>
        <v>0</v>
      </c>
      <c r="I11" s="5">
        <v>0</v>
      </c>
      <c r="J11" s="6">
        <v>0</v>
      </c>
      <c r="K11" s="7">
        <f t="shared" si="5"/>
        <v>0</v>
      </c>
      <c r="L11" s="14">
        <v>0</v>
      </c>
      <c r="M11" s="14">
        <v>0</v>
      </c>
      <c r="N11" s="7">
        <f t="shared" si="6"/>
        <v>0</v>
      </c>
      <c r="O11" s="14">
        <v>0</v>
      </c>
      <c r="P11" s="15">
        <v>0</v>
      </c>
      <c r="Q11" s="7">
        <f t="shared" si="7"/>
        <v>0</v>
      </c>
      <c r="R11" s="7">
        <v>0</v>
      </c>
      <c r="S11" s="7">
        <v>0</v>
      </c>
      <c r="T11" s="7">
        <f t="shared" si="10"/>
        <v>0</v>
      </c>
      <c r="U11" s="5">
        <v>42220</v>
      </c>
      <c r="V11" s="6">
        <v>40681</v>
      </c>
      <c r="W11" s="7">
        <f t="shared" si="2"/>
        <v>-1539</v>
      </c>
      <c r="X11" s="12">
        <f t="shared" si="3"/>
        <v>131003</v>
      </c>
      <c r="Y11" s="6">
        <f t="shared" si="3"/>
        <v>124698</v>
      </c>
      <c r="Z11" s="14">
        <f t="shared" si="8"/>
        <v>-6305</v>
      </c>
      <c r="AA11" s="6">
        <f t="shared" si="9"/>
        <v>95.18713311908887</v>
      </c>
    </row>
    <row r="12" spans="1:244" ht="32.25" customHeight="1" x14ac:dyDescent="0.25">
      <c r="A12" s="1">
        <v>3700</v>
      </c>
      <c r="B12" s="9" t="s">
        <v>9</v>
      </c>
      <c r="C12" s="39">
        <v>0</v>
      </c>
      <c r="D12" s="6">
        <v>0</v>
      </c>
      <c r="E12" s="14">
        <f t="shared" si="4"/>
        <v>0</v>
      </c>
      <c r="F12" s="39">
        <v>0</v>
      </c>
      <c r="G12" s="6">
        <v>0</v>
      </c>
      <c r="H12" s="7">
        <f t="shared" si="11"/>
        <v>0</v>
      </c>
      <c r="I12" s="5">
        <v>0</v>
      </c>
      <c r="J12" s="6">
        <v>0</v>
      </c>
      <c r="K12" s="7">
        <f t="shared" si="5"/>
        <v>0</v>
      </c>
      <c r="L12" s="7">
        <v>0</v>
      </c>
      <c r="M12" s="14">
        <v>0</v>
      </c>
      <c r="N12" s="7">
        <f t="shared" si="6"/>
        <v>0</v>
      </c>
      <c r="O12" s="14">
        <v>0</v>
      </c>
      <c r="P12" s="15">
        <v>0</v>
      </c>
      <c r="Q12" s="7">
        <f t="shared" si="7"/>
        <v>0</v>
      </c>
      <c r="R12" s="7">
        <v>0</v>
      </c>
      <c r="S12" s="7">
        <v>0</v>
      </c>
      <c r="T12" s="7">
        <f t="shared" si="10"/>
        <v>0</v>
      </c>
      <c r="U12" s="5">
        <v>0</v>
      </c>
      <c r="V12" s="6">
        <v>0</v>
      </c>
      <c r="W12" s="7">
        <f t="shared" si="2"/>
        <v>0</v>
      </c>
      <c r="X12" s="12">
        <f t="shared" si="3"/>
        <v>0</v>
      </c>
      <c r="Y12" s="6">
        <f t="shared" si="3"/>
        <v>0</v>
      </c>
      <c r="Z12" s="14">
        <f t="shared" si="8"/>
        <v>0</v>
      </c>
      <c r="AA12" s="6" t="e">
        <f t="shared" si="9"/>
        <v>#DIV/0!</v>
      </c>
    </row>
    <row r="13" spans="1:244" ht="32.25" customHeight="1" x14ac:dyDescent="0.25">
      <c r="A13" s="1">
        <v>4100</v>
      </c>
      <c r="B13" s="11" t="s">
        <v>10</v>
      </c>
      <c r="C13" s="39">
        <v>11787</v>
      </c>
      <c r="D13" s="6">
        <v>11786</v>
      </c>
      <c r="E13" s="14">
        <f t="shared" si="4"/>
        <v>-1</v>
      </c>
      <c r="F13" s="5">
        <v>1748</v>
      </c>
      <c r="G13" s="6">
        <v>1748</v>
      </c>
      <c r="H13" s="7">
        <f t="shared" si="11"/>
        <v>0</v>
      </c>
      <c r="I13" s="5">
        <v>1983</v>
      </c>
      <c r="J13" s="6">
        <v>1983</v>
      </c>
      <c r="K13" s="7">
        <f t="shared" si="5"/>
        <v>0</v>
      </c>
      <c r="L13" s="14">
        <v>0</v>
      </c>
      <c r="M13" s="14">
        <v>0</v>
      </c>
      <c r="N13" s="7">
        <f t="shared" si="6"/>
        <v>0</v>
      </c>
      <c r="O13" s="14">
        <v>0</v>
      </c>
      <c r="P13" s="15">
        <v>0</v>
      </c>
      <c r="Q13" s="7">
        <f t="shared" si="7"/>
        <v>0</v>
      </c>
      <c r="R13" s="7">
        <v>0</v>
      </c>
      <c r="S13" s="7">
        <v>0</v>
      </c>
      <c r="T13" s="7">
        <f t="shared" si="10"/>
        <v>0</v>
      </c>
      <c r="U13" s="5">
        <v>8198</v>
      </c>
      <c r="V13" s="6">
        <v>8199</v>
      </c>
      <c r="W13" s="7">
        <f t="shared" si="2"/>
        <v>1</v>
      </c>
      <c r="X13" s="12">
        <f t="shared" si="3"/>
        <v>23716</v>
      </c>
      <c r="Y13" s="6">
        <f t="shared" si="3"/>
        <v>23716</v>
      </c>
      <c r="Z13" s="14">
        <f t="shared" si="8"/>
        <v>0</v>
      </c>
      <c r="AA13" s="6">
        <f t="shared" si="9"/>
        <v>100</v>
      </c>
    </row>
    <row r="14" spans="1:244" ht="32.25" customHeight="1" x14ac:dyDescent="0.25">
      <c r="A14" s="1">
        <v>4200</v>
      </c>
      <c r="B14" s="11" t="s">
        <v>11</v>
      </c>
      <c r="C14" s="39">
        <v>26999</v>
      </c>
      <c r="D14" s="6">
        <v>27109</v>
      </c>
      <c r="E14" s="14">
        <f t="shared" si="4"/>
        <v>110</v>
      </c>
      <c r="F14" s="5">
        <v>0</v>
      </c>
      <c r="G14" s="6">
        <v>0</v>
      </c>
      <c r="H14" s="7">
        <f t="shared" si="11"/>
        <v>0</v>
      </c>
      <c r="I14" s="5">
        <v>0</v>
      </c>
      <c r="J14" s="6">
        <v>0</v>
      </c>
      <c r="K14" s="7">
        <f t="shared" si="5"/>
        <v>0</v>
      </c>
      <c r="L14" s="14">
        <v>0</v>
      </c>
      <c r="M14" s="14">
        <v>0</v>
      </c>
      <c r="N14" s="7">
        <f t="shared" si="6"/>
        <v>0</v>
      </c>
      <c r="O14" s="14">
        <v>0</v>
      </c>
      <c r="P14" s="15">
        <v>0</v>
      </c>
      <c r="Q14" s="7">
        <f t="shared" si="7"/>
        <v>0</v>
      </c>
      <c r="R14" s="7">
        <v>0</v>
      </c>
      <c r="S14" s="7">
        <v>0</v>
      </c>
      <c r="T14" s="7">
        <f t="shared" ref="T14:T15" si="12">S14-R14</f>
        <v>0</v>
      </c>
      <c r="U14" s="5">
        <v>0</v>
      </c>
      <c r="V14" s="6">
        <v>256</v>
      </c>
      <c r="W14" s="7">
        <f t="shared" si="2"/>
        <v>256</v>
      </c>
      <c r="X14" s="12">
        <f t="shared" si="3"/>
        <v>26999</v>
      </c>
      <c r="Y14" s="6">
        <f t="shared" si="3"/>
        <v>27365</v>
      </c>
      <c r="Z14" s="14">
        <f t="shared" si="8"/>
        <v>366</v>
      </c>
      <c r="AA14" s="6">
        <f t="shared" si="9"/>
        <v>101.35560576317641</v>
      </c>
    </row>
    <row r="15" spans="1:244" ht="32.25" customHeight="1" x14ac:dyDescent="0.25">
      <c r="A15" s="38">
        <v>5100</v>
      </c>
      <c r="B15" s="2" t="s">
        <v>35</v>
      </c>
      <c r="C15" s="39">
        <v>33000</v>
      </c>
      <c r="D15" s="6">
        <v>32526</v>
      </c>
      <c r="E15" s="14">
        <f t="shared" si="4"/>
        <v>-474</v>
      </c>
      <c r="F15" s="5">
        <v>21000</v>
      </c>
      <c r="G15" s="6">
        <v>20972</v>
      </c>
      <c r="H15" s="7">
        <f t="shared" si="11"/>
        <v>-28</v>
      </c>
      <c r="I15" s="5">
        <v>14948</v>
      </c>
      <c r="J15" s="6">
        <v>15000</v>
      </c>
      <c r="K15" s="7">
        <f t="shared" si="5"/>
        <v>52</v>
      </c>
      <c r="L15" s="7">
        <v>0</v>
      </c>
      <c r="M15" s="14">
        <v>0</v>
      </c>
      <c r="N15" s="7">
        <f t="shared" si="6"/>
        <v>0</v>
      </c>
      <c r="O15" s="14">
        <v>0</v>
      </c>
      <c r="P15" s="15">
        <v>0</v>
      </c>
      <c r="Q15" s="7">
        <f t="shared" si="7"/>
        <v>0</v>
      </c>
      <c r="R15" s="7">
        <v>0</v>
      </c>
      <c r="S15" s="7">
        <v>0</v>
      </c>
      <c r="T15" s="7">
        <f t="shared" si="12"/>
        <v>0</v>
      </c>
      <c r="U15" s="5">
        <v>256</v>
      </c>
      <c r="V15" s="6">
        <v>0</v>
      </c>
      <c r="W15" s="7">
        <f t="shared" si="2"/>
        <v>-256</v>
      </c>
      <c r="X15" s="12">
        <f t="shared" si="3"/>
        <v>69204</v>
      </c>
      <c r="Y15" s="6">
        <f t="shared" si="3"/>
        <v>68498</v>
      </c>
      <c r="Z15" s="14">
        <f t="shared" si="8"/>
        <v>-706</v>
      </c>
      <c r="AA15" s="6">
        <f t="shared" si="9"/>
        <v>98.979827755621059</v>
      </c>
    </row>
    <row r="16" spans="1:244" s="4" customFormat="1" ht="32.25" customHeight="1" x14ac:dyDescent="0.25">
      <c r="A16" s="3">
        <v>5300</v>
      </c>
      <c r="B16" s="11" t="s">
        <v>34</v>
      </c>
      <c r="C16" s="11">
        <v>181099</v>
      </c>
      <c r="D16" s="13">
        <v>177176</v>
      </c>
      <c r="E16" s="14">
        <f t="shared" si="4"/>
        <v>-3923</v>
      </c>
      <c r="F16" s="12">
        <v>0</v>
      </c>
      <c r="G16" s="13">
        <v>0</v>
      </c>
      <c r="H16" s="14">
        <f t="shared" si="11"/>
        <v>0</v>
      </c>
      <c r="I16" s="12">
        <v>7100</v>
      </c>
      <c r="J16" s="13">
        <v>7136</v>
      </c>
      <c r="K16" s="14">
        <f t="shared" si="5"/>
        <v>36</v>
      </c>
      <c r="L16" s="14">
        <v>0</v>
      </c>
      <c r="M16" s="14">
        <v>0</v>
      </c>
      <c r="N16" s="14">
        <f t="shared" si="6"/>
        <v>0</v>
      </c>
      <c r="O16" s="14">
        <v>0</v>
      </c>
      <c r="P16" s="15">
        <v>0</v>
      </c>
      <c r="Q16" s="14">
        <f t="shared" si="7"/>
        <v>0</v>
      </c>
      <c r="R16" s="14">
        <v>0</v>
      </c>
      <c r="S16" s="14">
        <v>0</v>
      </c>
      <c r="T16" s="14">
        <f t="shared" ref="T16:T20" si="13">S16-R16</f>
        <v>0</v>
      </c>
      <c r="U16" s="12">
        <v>0</v>
      </c>
      <c r="V16" s="13">
        <v>489</v>
      </c>
      <c r="W16" s="14">
        <f t="shared" si="2"/>
        <v>489</v>
      </c>
      <c r="X16" s="12">
        <f t="shared" si="3"/>
        <v>188199</v>
      </c>
      <c r="Y16" s="6">
        <f t="shared" si="3"/>
        <v>184801</v>
      </c>
      <c r="Z16" s="14">
        <f t="shared" si="8"/>
        <v>-3398</v>
      </c>
      <c r="AA16" s="6">
        <f t="shared" si="9"/>
        <v>98.19446437016137</v>
      </c>
      <c r="AB16"/>
      <c r="AC16"/>
      <c r="AD16" s="30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476" ht="32.25" customHeight="1" x14ac:dyDescent="0.25">
      <c r="A17" s="1">
        <v>6200</v>
      </c>
      <c r="B17" s="2" t="s">
        <v>12</v>
      </c>
      <c r="C17" s="39">
        <v>0</v>
      </c>
      <c r="D17" s="6">
        <v>0</v>
      </c>
      <c r="E17" s="14">
        <f t="shared" si="4"/>
        <v>0</v>
      </c>
      <c r="F17" s="5">
        <v>0</v>
      </c>
      <c r="G17" s="6">
        <v>0</v>
      </c>
      <c r="H17" s="7">
        <f t="shared" si="11"/>
        <v>0</v>
      </c>
      <c r="I17" s="5">
        <v>0</v>
      </c>
      <c r="J17" s="6">
        <v>0</v>
      </c>
      <c r="K17" s="7">
        <f t="shared" si="5"/>
        <v>0</v>
      </c>
      <c r="L17" s="14">
        <v>0</v>
      </c>
      <c r="M17" s="14">
        <v>0</v>
      </c>
      <c r="N17" s="7">
        <f t="shared" si="6"/>
        <v>0</v>
      </c>
      <c r="O17" s="14">
        <v>0</v>
      </c>
      <c r="P17" s="15">
        <v>0</v>
      </c>
      <c r="Q17" s="7">
        <f t="shared" si="7"/>
        <v>0</v>
      </c>
      <c r="R17" s="7">
        <v>0</v>
      </c>
      <c r="S17" s="7">
        <v>0</v>
      </c>
      <c r="T17" s="14">
        <f t="shared" si="13"/>
        <v>0</v>
      </c>
      <c r="U17" s="5">
        <v>0</v>
      </c>
      <c r="V17" s="6">
        <v>0</v>
      </c>
      <c r="W17" s="7">
        <f t="shared" si="2"/>
        <v>0</v>
      </c>
      <c r="X17" s="12">
        <f t="shared" si="3"/>
        <v>0</v>
      </c>
      <c r="Y17" s="6">
        <f t="shared" si="3"/>
        <v>0</v>
      </c>
      <c r="Z17" s="14">
        <f t="shared" si="8"/>
        <v>0</v>
      </c>
      <c r="AA17" s="6" t="e">
        <f t="shared" si="9"/>
        <v>#DIV/0!</v>
      </c>
    </row>
    <row r="18" spans="1:1476" s="4" customFormat="1" ht="32.25" customHeight="1" x14ac:dyDescent="0.25">
      <c r="A18" s="3">
        <v>6400</v>
      </c>
      <c r="B18" s="11" t="s">
        <v>13</v>
      </c>
      <c r="C18" s="11">
        <v>49818</v>
      </c>
      <c r="D18" s="13">
        <v>49818</v>
      </c>
      <c r="E18" s="14">
        <f t="shared" si="4"/>
        <v>0</v>
      </c>
      <c r="F18" s="12">
        <v>12920</v>
      </c>
      <c r="G18" s="13">
        <v>9657</v>
      </c>
      <c r="H18" s="14">
        <f t="shared" si="11"/>
        <v>-3263</v>
      </c>
      <c r="I18" s="12">
        <v>21104</v>
      </c>
      <c r="J18" s="13">
        <v>21104</v>
      </c>
      <c r="K18" s="14">
        <f t="shared" si="5"/>
        <v>0</v>
      </c>
      <c r="L18" s="14">
        <v>0</v>
      </c>
      <c r="M18" s="14">
        <v>0</v>
      </c>
      <c r="N18" s="14">
        <f t="shared" si="6"/>
        <v>0</v>
      </c>
      <c r="O18" s="14">
        <v>0</v>
      </c>
      <c r="P18" s="15">
        <v>0</v>
      </c>
      <c r="Q18" s="14">
        <f t="shared" si="7"/>
        <v>0</v>
      </c>
      <c r="R18" s="14">
        <v>0</v>
      </c>
      <c r="S18" s="14">
        <v>0</v>
      </c>
      <c r="T18" s="14">
        <f t="shared" si="13"/>
        <v>0</v>
      </c>
      <c r="U18" s="12">
        <v>62500</v>
      </c>
      <c r="V18" s="29">
        <v>62461</v>
      </c>
      <c r="W18" s="14">
        <f t="shared" si="2"/>
        <v>-39</v>
      </c>
      <c r="X18" s="12">
        <f t="shared" si="3"/>
        <v>146342</v>
      </c>
      <c r="Y18" s="6">
        <f t="shared" si="3"/>
        <v>143040</v>
      </c>
      <c r="Z18" s="14">
        <f t="shared" si="8"/>
        <v>-3302</v>
      </c>
      <c r="AA18" s="6">
        <f>Y18/X18*100</f>
        <v>97.743641606647444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</row>
    <row r="19" spans="1:1476" ht="32.25" customHeight="1" x14ac:dyDescent="0.25">
      <c r="A19" s="1"/>
      <c r="B19" s="2" t="s">
        <v>14</v>
      </c>
      <c r="C19" s="39">
        <v>3000</v>
      </c>
      <c r="D19" s="6">
        <v>0</v>
      </c>
      <c r="E19" s="14">
        <f t="shared" si="4"/>
        <v>-3000</v>
      </c>
      <c r="F19" s="5">
        <v>0</v>
      </c>
      <c r="G19" s="6">
        <v>0</v>
      </c>
      <c r="H19" s="7">
        <f t="shared" si="11"/>
        <v>0</v>
      </c>
      <c r="I19" s="5">
        <v>0</v>
      </c>
      <c r="J19" s="6">
        <v>0</v>
      </c>
      <c r="K19" s="7">
        <f t="shared" si="5"/>
        <v>0</v>
      </c>
      <c r="L19" s="14">
        <v>0</v>
      </c>
      <c r="M19" s="14">
        <v>0</v>
      </c>
      <c r="N19" s="7">
        <f t="shared" si="6"/>
        <v>0</v>
      </c>
      <c r="O19" s="14">
        <v>0</v>
      </c>
      <c r="P19" s="15">
        <v>0</v>
      </c>
      <c r="Q19" s="7">
        <f t="shared" si="7"/>
        <v>0</v>
      </c>
      <c r="R19" s="7">
        <v>0</v>
      </c>
      <c r="S19" s="7">
        <v>0</v>
      </c>
      <c r="T19" s="14">
        <f t="shared" si="13"/>
        <v>0</v>
      </c>
      <c r="U19" s="5">
        <v>0</v>
      </c>
      <c r="V19" s="10">
        <v>0</v>
      </c>
      <c r="W19" s="7">
        <f t="shared" si="2"/>
        <v>0</v>
      </c>
      <c r="X19" s="12">
        <f t="shared" si="3"/>
        <v>3000</v>
      </c>
      <c r="Y19" s="6">
        <f t="shared" si="3"/>
        <v>0</v>
      </c>
      <c r="Z19" s="14">
        <f t="shared" si="8"/>
        <v>-3000</v>
      </c>
      <c r="AA19" s="6">
        <f>Y19/X19*100</f>
        <v>0</v>
      </c>
    </row>
    <row r="20" spans="1:1476" ht="32.25" customHeight="1" x14ac:dyDescent="0.25">
      <c r="A20" s="1">
        <v>6500</v>
      </c>
      <c r="B20" s="2" t="s">
        <v>15</v>
      </c>
      <c r="C20" s="39">
        <v>0</v>
      </c>
      <c r="D20" s="6">
        <v>0</v>
      </c>
      <c r="E20" s="14">
        <f t="shared" si="4"/>
        <v>0</v>
      </c>
      <c r="F20" s="5">
        <v>0</v>
      </c>
      <c r="G20" s="6">
        <v>0</v>
      </c>
      <c r="H20" s="7">
        <f t="shared" si="11"/>
        <v>0</v>
      </c>
      <c r="I20" s="5">
        <v>0</v>
      </c>
      <c r="J20" s="6">
        <v>0</v>
      </c>
      <c r="K20" s="7">
        <f t="shared" si="5"/>
        <v>0</v>
      </c>
      <c r="L20" s="14">
        <v>0</v>
      </c>
      <c r="M20" s="14">
        <v>0</v>
      </c>
      <c r="N20" s="7">
        <f t="shared" si="6"/>
        <v>0</v>
      </c>
      <c r="O20" s="14">
        <v>0</v>
      </c>
      <c r="P20" s="15">
        <v>0</v>
      </c>
      <c r="Q20" s="7">
        <f t="shared" si="7"/>
        <v>0</v>
      </c>
      <c r="R20" s="14">
        <v>0</v>
      </c>
      <c r="S20" s="14">
        <v>0</v>
      </c>
      <c r="T20" s="14">
        <f t="shared" si="13"/>
        <v>0</v>
      </c>
      <c r="U20" s="5">
        <v>1378</v>
      </c>
      <c r="V20" s="6">
        <v>1109</v>
      </c>
      <c r="W20" s="7">
        <f t="shared" si="2"/>
        <v>-269</v>
      </c>
      <c r="X20" s="12">
        <f t="shared" ref="X20:Y20" si="14">C20+F20+I20+L20+O20+U20+R20</f>
        <v>1378</v>
      </c>
      <c r="Y20" s="6">
        <f t="shared" si="14"/>
        <v>1109</v>
      </c>
      <c r="Z20" s="14">
        <f t="shared" si="8"/>
        <v>-269</v>
      </c>
      <c r="AA20" s="6">
        <f t="shared" si="9"/>
        <v>80.478955007256886</v>
      </c>
    </row>
    <row r="21" spans="1:1476" ht="32.25" customHeight="1" x14ac:dyDescent="0.25">
      <c r="A21" s="47" t="s">
        <v>16</v>
      </c>
      <c r="B21" s="48"/>
      <c r="C21" s="32">
        <f>SUM(C4:C20)</f>
        <v>458194</v>
      </c>
      <c r="D21" s="1">
        <f>SUM(D4:D20)</f>
        <v>463909</v>
      </c>
      <c r="E21" s="14">
        <f t="shared" si="4"/>
        <v>5715</v>
      </c>
      <c r="F21" s="2">
        <f>SUM(F4:F20)</f>
        <v>37245</v>
      </c>
      <c r="G21" s="1">
        <f>SUM(G4:G20)</f>
        <v>51208</v>
      </c>
      <c r="H21" s="7">
        <f t="shared" si="11"/>
        <v>13963</v>
      </c>
      <c r="I21" s="2">
        <f>SUM(I4:I20)</f>
        <v>45145</v>
      </c>
      <c r="J21" s="1">
        <f>SUM(J4:J20)</f>
        <v>45223</v>
      </c>
      <c r="K21" s="7">
        <f t="shared" si="5"/>
        <v>78</v>
      </c>
      <c r="L21" s="2">
        <f>SUM(L4:L20)</f>
        <v>0</v>
      </c>
      <c r="M21" s="2">
        <f>SUM(M4:M20)</f>
        <v>0</v>
      </c>
      <c r="N21" s="7">
        <f t="shared" si="6"/>
        <v>0</v>
      </c>
      <c r="O21" s="1">
        <f>SUM(O4:O20)</f>
        <v>4337312</v>
      </c>
      <c r="P21" s="1">
        <f>SUM(P4:P20)</f>
        <v>6172340</v>
      </c>
      <c r="Q21" s="7">
        <f t="shared" si="7"/>
        <v>1835028</v>
      </c>
      <c r="R21" s="1">
        <f>SUM(R4:R20)</f>
        <v>0</v>
      </c>
      <c r="S21" s="1">
        <f>SUM(S4:S20)</f>
        <v>0</v>
      </c>
      <c r="T21" s="1">
        <f>SUM(T4:T20)</f>
        <v>0</v>
      </c>
      <c r="U21" s="2">
        <f>SUM(U4:U20)</f>
        <v>1343849</v>
      </c>
      <c r="V21" s="1">
        <f>SUM(V4:V20)</f>
        <v>987017</v>
      </c>
      <c r="W21" s="7">
        <f t="shared" si="2"/>
        <v>-356832</v>
      </c>
      <c r="X21" s="2">
        <f>SUM(X4:X20)</f>
        <v>6221745</v>
      </c>
      <c r="Y21" s="1">
        <f>SUM(Y4:Y20)</f>
        <v>7719697</v>
      </c>
      <c r="Z21" s="14">
        <f>Y21-X21</f>
        <v>1497952</v>
      </c>
      <c r="AA21" s="6">
        <f t="shared" si="9"/>
        <v>124.07607512040433</v>
      </c>
    </row>
    <row r="22" spans="1:1476" x14ac:dyDescent="0.25">
      <c r="A22" s="18"/>
      <c r="B22" s="18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1476" x14ac:dyDescent="0.25">
      <c r="B23" t="s">
        <v>25</v>
      </c>
    </row>
    <row r="24" spans="1:1476" x14ac:dyDescent="0.25">
      <c r="B24" t="s">
        <v>26</v>
      </c>
      <c r="W24" t="s">
        <v>27</v>
      </c>
    </row>
    <row r="25" spans="1:1476" x14ac:dyDescent="0.25">
      <c r="B25" t="s">
        <v>28</v>
      </c>
      <c r="W25" t="s">
        <v>29</v>
      </c>
    </row>
    <row r="32" spans="1:147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7"/>
      <c r="AB34" s="17"/>
      <c r="AC34" s="17"/>
    </row>
    <row r="35" spans="1:2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7"/>
      <c r="AB35" s="17"/>
      <c r="AC35" s="17"/>
    </row>
    <row r="36" spans="1:2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7"/>
      <c r="AB36" s="17"/>
      <c r="AC36" s="17"/>
    </row>
    <row r="37" spans="1:2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7"/>
      <c r="AB37" s="17"/>
      <c r="AC37" s="17"/>
    </row>
    <row r="38" spans="1:29" x14ac:dyDescent="0.25">
      <c r="A38" s="22"/>
      <c r="B38" s="21"/>
      <c r="C38" s="21"/>
      <c r="D38" s="22"/>
      <c r="E38" s="20"/>
      <c r="F38" s="21"/>
      <c r="G38" s="22"/>
      <c r="H38" s="20"/>
      <c r="I38" s="21"/>
      <c r="J38" s="22"/>
      <c r="K38" s="20"/>
      <c r="L38" s="20"/>
      <c r="M38" s="23"/>
      <c r="N38" s="20"/>
      <c r="O38" s="20"/>
      <c r="P38" s="23"/>
      <c r="Q38" s="20"/>
      <c r="R38" s="20"/>
      <c r="S38" s="20"/>
      <c r="T38" s="20"/>
      <c r="U38" s="21"/>
      <c r="V38" s="22"/>
      <c r="W38" s="20"/>
      <c r="X38" s="21"/>
      <c r="Y38" s="22"/>
      <c r="Z38" s="20"/>
      <c r="AA38" s="17"/>
      <c r="AB38" s="17"/>
      <c r="AC38" s="17"/>
    </row>
    <row r="39" spans="1:29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  <c r="AA39" s="17"/>
      <c r="AB39" s="17"/>
      <c r="AC39" s="17"/>
    </row>
    <row r="40" spans="1:29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2"/>
      <c r="V40" s="22"/>
      <c r="W40" s="20"/>
      <c r="X40" s="21"/>
      <c r="Y40" s="22"/>
      <c r="Z40" s="20"/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7" x14ac:dyDescent="0.25">
      <c r="A53" s="22"/>
      <c r="B53" s="22"/>
      <c r="C53" s="21"/>
      <c r="D53" s="22"/>
      <c r="E53" s="20"/>
      <c r="F53" s="21"/>
      <c r="G53" s="22"/>
      <c r="H53" s="20"/>
      <c r="I53" s="21"/>
      <c r="J53" s="22"/>
      <c r="K53" s="20"/>
      <c r="L53" s="21"/>
      <c r="M53" s="21"/>
      <c r="N53" s="20"/>
      <c r="O53" s="22"/>
      <c r="P53" s="22"/>
      <c r="Q53" s="20"/>
      <c r="R53" s="22"/>
      <c r="S53" s="22"/>
      <c r="T53" s="22"/>
      <c r="U53" s="21"/>
      <c r="V53" s="22"/>
      <c r="W53" s="20"/>
      <c r="X53" s="21"/>
      <c r="Y53" s="22"/>
      <c r="Z53" s="20"/>
    </row>
    <row r="54" spans="1:27" x14ac:dyDescent="0.25">
      <c r="A54" s="22"/>
      <c r="B54" s="22"/>
      <c r="C54" s="21"/>
      <c r="D54" s="22"/>
      <c r="E54" s="20"/>
      <c r="F54" s="21"/>
      <c r="G54" s="22"/>
      <c r="H54" s="20"/>
      <c r="I54" s="21"/>
      <c r="J54" s="22"/>
      <c r="K54" s="20"/>
      <c r="L54" s="21"/>
      <c r="M54" s="21"/>
      <c r="N54" s="20"/>
      <c r="O54" s="22"/>
      <c r="P54" s="22"/>
      <c r="Q54" s="20"/>
      <c r="R54" s="22"/>
      <c r="S54" s="22"/>
      <c r="T54" s="22"/>
      <c r="U54" s="21"/>
      <c r="V54" s="22"/>
      <c r="W54" s="20"/>
      <c r="X54" s="21"/>
      <c r="Y54" s="22"/>
      <c r="Z54" s="20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12">
    <mergeCell ref="X2:AA2"/>
    <mergeCell ref="A1:AA1"/>
    <mergeCell ref="A21:B21"/>
    <mergeCell ref="L2:N2"/>
    <mergeCell ref="O2:Q2"/>
    <mergeCell ref="R2:T2"/>
    <mergeCell ref="U2:W2"/>
    <mergeCell ref="A2:A3"/>
    <mergeCell ref="B2:B3"/>
    <mergeCell ref="C2:E2"/>
    <mergeCell ref="F2:H2"/>
    <mergeCell ref="I2:K2"/>
  </mergeCells>
  <pageMargins left="0.7" right="0.7" top="0.75" bottom="0.75" header="0.3" footer="0.3"/>
  <pageSetup paperSize="9" scale="58" orientation="landscape" r:id="rId1"/>
  <colBreaks count="1" manualBreakCount="1">
    <brk id="23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2"/>
  <sheetViews>
    <sheetView tabSelected="1" workbookViewId="0">
      <selection activeCell="Y10" sqref="Y10"/>
    </sheetView>
  </sheetViews>
  <sheetFormatPr defaultRowHeight="15" x14ac:dyDescent="0.25"/>
  <cols>
    <col min="1" max="1" width="16.5703125" customWidth="1"/>
    <col min="8" max="8" width="9.140625" customWidth="1"/>
    <col min="9" max="9" width="7.7109375" customWidth="1"/>
    <col min="10" max="10" width="8.140625" customWidth="1"/>
  </cols>
  <sheetData>
    <row r="2" spans="1:20" ht="21" x14ac:dyDescent="0.25">
      <c r="A2" s="60" t="s">
        <v>76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15" customHeight="1" x14ac:dyDescent="0.25">
      <c r="A3" s="50" t="s">
        <v>72</v>
      </c>
      <c r="B3" s="47" t="s">
        <v>74</v>
      </c>
      <c r="C3" s="49"/>
      <c r="D3" s="48"/>
      <c r="E3" s="47" t="s">
        <v>52</v>
      </c>
      <c r="F3" s="49"/>
      <c r="G3" s="48"/>
      <c r="H3" s="47" t="s">
        <v>53</v>
      </c>
      <c r="I3" s="49"/>
      <c r="J3" s="48"/>
      <c r="K3" s="47" t="s">
        <v>54</v>
      </c>
      <c r="L3" s="49"/>
      <c r="M3" s="48"/>
      <c r="N3" s="47" t="s">
        <v>55</v>
      </c>
      <c r="O3" s="49"/>
      <c r="P3" s="48"/>
      <c r="Q3" s="44" t="s">
        <v>22</v>
      </c>
      <c r="R3" s="44"/>
      <c r="S3" s="44"/>
      <c r="T3" s="44"/>
    </row>
    <row r="4" spans="1:20" x14ac:dyDescent="0.25">
      <c r="A4" s="51"/>
      <c r="B4" s="5" t="s">
        <v>47</v>
      </c>
      <c r="C4" s="5" t="s">
        <v>23</v>
      </c>
      <c r="D4" s="42" t="s">
        <v>24</v>
      </c>
      <c r="E4" s="5" t="s">
        <v>47</v>
      </c>
      <c r="F4" s="5" t="s">
        <v>23</v>
      </c>
      <c r="G4" s="42" t="s">
        <v>24</v>
      </c>
      <c r="H4" s="5" t="s">
        <v>47</v>
      </c>
      <c r="I4" s="5" t="s">
        <v>23</v>
      </c>
      <c r="J4" s="42" t="s">
        <v>24</v>
      </c>
      <c r="K4" s="5" t="s">
        <v>47</v>
      </c>
      <c r="L4" s="5" t="s">
        <v>23</v>
      </c>
      <c r="M4" s="42" t="s">
        <v>24</v>
      </c>
      <c r="N4" s="5" t="s">
        <v>47</v>
      </c>
      <c r="O4" s="5" t="s">
        <v>23</v>
      </c>
      <c r="P4" s="42" t="s">
        <v>24</v>
      </c>
      <c r="Q4" s="5" t="s">
        <v>47</v>
      </c>
      <c r="R4" s="5" t="s">
        <v>23</v>
      </c>
      <c r="S4" s="42" t="s">
        <v>24</v>
      </c>
      <c r="T4" s="5" t="s">
        <v>37</v>
      </c>
    </row>
    <row r="5" spans="1:20" ht="34.5" customHeight="1" x14ac:dyDescent="0.25">
      <c r="A5" s="11" t="s">
        <v>60</v>
      </c>
      <c r="B5" s="12">
        <v>50430</v>
      </c>
      <c r="C5" s="13">
        <v>42702</v>
      </c>
      <c r="D5" s="14">
        <f>C5-B5</f>
        <v>-7728</v>
      </c>
      <c r="E5" s="11">
        <v>0</v>
      </c>
      <c r="F5" s="3">
        <v>0</v>
      </c>
      <c r="G5" s="14">
        <f>F5-E5</f>
        <v>0</v>
      </c>
      <c r="H5" s="11">
        <v>0</v>
      </c>
      <c r="I5" s="3">
        <v>0</v>
      </c>
      <c r="J5" s="14">
        <f>I5-H5</f>
        <v>0</v>
      </c>
      <c r="K5" s="14">
        <v>0</v>
      </c>
      <c r="L5" s="15">
        <v>0</v>
      </c>
      <c r="M5" s="14">
        <f>L5-K5</f>
        <v>0</v>
      </c>
      <c r="N5" s="12">
        <v>0</v>
      </c>
      <c r="O5" s="13">
        <v>0</v>
      </c>
      <c r="P5" s="14">
        <f>O5-N5</f>
        <v>0</v>
      </c>
      <c r="Q5" s="12">
        <f>B5+E5+H5+K5+N5</f>
        <v>50430</v>
      </c>
      <c r="R5" s="6">
        <f>C5+F5+I5+L5+O5</f>
        <v>42702</v>
      </c>
      <c r="S5" s="14">
        <f>R5-Q5</f>
        <v>-7728</v>
      </c>
      <c r="T5" s="6">
        <f>R5/Q5*100</f>
        <v>84.675788221296841</v>
      </c>
    </row>
    <row r="6" spans="1:20" ht="36" customHeight="1" x14ac:dyDescent="0.25">
      <c r="A6" s="42" t="s">
        <v>56</v>
      </c>
      <c r="B6" s="42">
        <v>108</v>
      </c>
      <c r="C6" s="6">
        <v>12015</v>
      </c>
      <c r="D6" s="14">
        <f>C6-B6</f>
        <v>11907</v>
      </c>
      <c r="E6" s="5">
        <v>1577</v>
      </c>
      <c r="F6" s="1">
        <v>18831</v>
      </c>
      <c r="G6" s="7">
        <f>F6-E6</f>
        <v>17254</v>
      </c>
      <c r="H6" s="5">
        <v>10</v>
      </c>
      <c r="I6" s="6">
        <v>0</v>
      </c>
      <c r="J6" s="7">
        <f>I6-H6</f>
        <v>-10</v>
      </c>
      <c r="K6" s="7">
        <v>0</v>
      </c>
      <c r="L6" s="8">
        <v>0</v>
      </c>
      <c r="M6" s="7">
        <f>L6-K6</f>
        <v>0</v>
      </c>
      <c r="N6" s="5">
        <v>0</v>
      </c>
      <c r="O6" s="6">
        <v>0</v>
      </c>
      <c r="P6" s="7">
        <f>O6-N6</f>
        <v>0</v>
      </c>
      <c r="Q6" s="12">
        <f>B6+E6+H6+K6+N6</f>
        <v>1695</v>
      </c>
      <c r="R6" s="6">
        <f>C6+F6+I6+L6+O6</f>
        <v>30846</v>
      </c>
      <c r="S6" s="14">
        <f>R6-Q6</f>
        <v>29151</v>
      </c>
      <c r="T6" s="6">
        <f>R6/Q6*100</f>
        <v>1819.8230088495575</v>
      </c>
    </row>
    <row r="7" spans="1:20" ht="31.5" customHeight="1" x14ac:dyDescent="0.25">
      <c r="A7" s="42" t="s">
        <v>57</v>
      </c>
      <c r="B7" s="42">
        <v>0</v>
      </c>
      <c r="C7" s="6">
        <v>0</v>
      </c>
      <c r="D7" s="14">
        <f>C7-B7</f>
        <v>0</v>
      </c>
      <c r="E7" s="5">
        <v>0</v>
      </c>
      <c r="F7" s="6">
        <v>0</v>
      </c>
      <c r="G7" s="7">
        <f>F7-E7</f>
        <v>0</v>
      </c>
      <c r="H7" s="5">
        <v>0</v>
      </c>
      <c r="I7" s="6">
        <v>0</v>
      </c>
      <c r="J7" s="7">
        <f>I7-H7</f>
        <v>0</v>
      </c>
      <c r="K7" s="7">
        <v>137720</v>
      </c>
      <c r="L7" s="8">
        <v>137742</v>
      </c>
      <c r="M7" s="7">
        <f>L7-K7</f>
        <v>22</v>
      </c>
      <c r="N7" s="5">
        <v>0</v>
      </c>
      <c r="O7" s="6">
        <v>0</v>
      </c>
      <c r="P7" s="7">
        <f>O7-N7</f>
        <v>0</v>
      </c>
      <c r="Q7" s="12">
        <f>B7+E7+H7+K7+N7</f>
        <v>137720</v>
      </c>
      <c r="R7" s="6">
        <f>C7+F7+I7+L7+O7</f>
        <v>137742</v>
      </c>
      <c r="S7" s="14">
        <f>R7-Q7</f>
        <v>22</v>
      </c>
      <c r="T7" s="6">
        <f>R7/Q7*100</f>
        <v>100.01597444089457</v>
      </c>
    </row>
    <row r="8" spans="1:20" ht="33" customHeight="1" x14ac:dyDescent="0.25">
      <c r="A8" s="11" t="s">
        <v>61</v>
      </c>
      <c r="B8" s="42">
        <v>0</v>
      </c>
      <c r="C8" s="6">
        <v>0</v>
      </c>
      <c r="D8" s="14">
        <f>C8-B8</f>
        <v>0</v>
      </c>
      <c r="E8" s="5">
        <v>0</v>
      </c>
      <c r="F8" s="6">
        <v>0</v>
      </c>
      <c r="G8" s="7">
        <f>F8-E8</f>
        <v>0</v>
      </c>
      <c r="H8" s="5">
        <v>0</v>
      </c>
      <c r="I8" s="6">
        <v>0</v>
      </c>
      <c r="J8" s="7">
        <f>I8-H8</f>
        <v>0</v>
      </c>
      <c r="K8" s="7">
        <v>352872</v>
      </c>
      <c r="L8" s="8">
        <v>313693</v>
      </c>
      <c r="M8" s="7">
        <f>L8-K8</f>
        <v>-39179</v>
      </c>
      <c r="N8" s="5">
        <v>57475</v>
      </c>
      <c r="O8" s="6">
        <v>70694</v>
      </c>
      <c r="P8" s="7">
        <f>O8-N8</f>
        <v>13219</v>
      </c>
      <c r="Q8" s="12">
        <f>B8+E8+H8+K8+N8</f>
        <v>410347</v>
      </c>
      <c r="R8" s="6">
        <f>C8+F8+I8+L8+O8</f>
        <v>384387</v>
      </c>
      <c r="S8" s="14">
        <f>R8-Q8</f>
        <v>-25960</v>
      </c>
      <c r="T8" s="6">
        <f>R8/Q8*100</f>
        <v>93.673646937835542</v>
      </c>
    </row>
    <row r="9" spans="1:20" ht="30" x14ac:dyDescent="0.25">
      <c r="A9" s="11" t="s">
        <v>62</v>
      </c>
      <c r="B9" s="42">
        <v>0</v>
      </c>
      <c r="C9" s="6">
        <v>0</v>
      </c>
      <c r="D9" s="14">
        <f>C9-B9</f>
        <v>0</v>
      </c>
      <c r="E9" s="5">
        <v>0</v>
      </c>
      <c r="F9" s="6">
        <v>0</v>
      </c>
      <c r="G9" s="7">
        <f>F9-E9</f>
        <v>0</v>
      </c>
      <c r="H9" s="5">
        <v>0</v>
      </c>
      <c r="I9" s="6">
        <v>0</v>
      </c>
      <c r="J9" s="7">
        <f>I9-H9</f>
        <v>0</v>
      </c>
      <c r="K9" s="7">
        <v>3846720</v>
      </c>
      <c r="L9" s="8">
        <v>5720905</v>
      </c>
      <c r="M9" s="7">
        <f>L9-K9</f>
        <v>1874185</v>
      </c>
      <c r="N9" s="5">
        <v>790214</v>
      </c>
      <c r="O9" s="6">
        <v>410467</v>
      </c>
      <c r="P9" s="7">
        <f>O9-N9</f>
        <v>-379747</v>
      </c>
      <c r="Q9" s="12">
        <f>B9+E9+H9+K9+N9</f>
        <v>4636934</v>
      </c>
      <c r="R9" s="6">
        <f>C9+F9+I9+L9+O9</f>
        <v>6131372</v>
      </c>
      <c r="S9" s="14">
        <f>R9-Q9</f>
        <v>1494438</v>
      </c>
      <c r="T9" s="6">
        <f>R9/Q9*100</f>
        <v>132.22901167021141</v>
      </c>
    </row>
    <row r="10" spans="1:20" ht="28.5" customHeight="1" x14ac:dyDescent="0.25">
      <c r="A10" s="11" t="s">
        <v>63</v>
      </c>
      <c r="B10" s="11">
        <v>0</v>
      </c>
      <c r="C10" s="13">
        <v>0</v>
      </c>
      <c r="D10" s="14">
        <f>C10-B10</f>
        <v>0</v>
      </c>
      <c r="E10" s="12">
        <v>0</v>
      </c>
      <c r="F10" s="13">
        <v>0</v>
      </c>
      <c r="G10" s="14">
        <f>F10-E10</f>
        <v>0</v>
      </c>
      <c r="H10" s="12">
        <v>0</v>
      </c>
      <c r="I10" s="13">
        <v>0</v>
      </c>
      <c r="J10" s="14">
        <f>I10-H10</f>
        <v>0</v>
      </c>
      <c r="K10" s="14">
        <v>0</v>
      </c>
      <c r="L10" s="15">
        <v>0</v>
      </c>
      <c r="M10" s="14">
        <f>L10-K10</f>
        <v>0</v>
      </c>
      <c r="N10" s="12">
        <v>118930</v>
      </c>
      <c r="O10" s="13">
        <v>134468</v>
      </c>
      <c r="P10" s="14">
        <f>O10-N10</f>
        <v>15538</v>
      </c>
      <c r="Q10" s="12">
        <f>B10+E10+H10+K10+N10</f>
        <v>118930</v>
      </c>
      <c r="R10" s="6">
        <f>C10+F10+I10+L10+O10</f>
        <v>134468</v>
      </c>
      <c r="S10" s="14">
        <f>R10-Q10</f>
        <v>15538</v>
      </c>
      <c r="T10" s="6">
        <f>R10/Q10*100</f>
        <v>113.0648280501135</v>
      </c>
    </row>
    <row r="11" spans="1:20" ht="30" x14ac:dyDescent="0.25">
      <c r="A11" s="11" t="s">
        <v>64</v>
      </c>
      <c r="B11" s="11">
        <v>13170</v>
      </c>
      <c r="C11" s="13">
        <v>26760</v>
      </c>
      <c r="D11" s="14">
        <f>C11-B11</f>
        <v>13590</v>
      </c>
      <c r="E11" s="12">
        <v>0</v>
      </c>
      <c r="F11" s="13">
        <v>0</v>
      </c>
      <c r="G11" s="14">
        <f>F11-E11</f>
        <v>0</v>
      </c>
      <c r="H11" s="5">
        <v>0</v>
      </c>
      <c r="I11" s="13">
        <v>0</v>
      </c>
      <c r="J11" s="14">
        <f>I11-H11</f>
        <v>0</v>
      </c>
      <c r="K11" s="14">
        <v>0</v>
      </c>
      <c r="L11" s="15">
        <v>0</v>
      </c>
      <c r="M11" s="14">
        <f>L11-K11</f>
        <v>0</v>
      </c>
      <c r="N11" s="11">
        <v>262678</v>
      </c>
      <c r="O11" s="13">
        <v>258193</v>
      </c>
      <c r="P11" s="14">
        <f>O11-N11</f>
        <v>-4485</v>
      </c>
      <c r="Q11" s="12">
        <f>B11+E11+H11+K11+N11</f>
        <v>275848</v>
      </c>
      <c r="R11" s="6">
        <f>C11+F11+I11+L11+O11</f>
        <v>284953</v>
      </c>
      <c r="S11" s="14">
        <f>R11-Q11</f>
        <v>9105</v>
      </c>
      <c r="T11" s="6">
        <f>R11/Q11*100</f>
        <v>103.3007308372727</v>
      </c>
    </row>
    <row r="12" spans="1:20" ht="45" x14ac:dyDescent="0.25">
      <c r="A12" s="42" t="s">
        <v>65</v>
      </c>
      <c r="B12" s="42">
        <v>88783</v>
      </c>
      <c r="C12" s="6">
        <v>84017</v>
      </c>
      <c r="D12" s="14">
        <f>C12-B12</f>
        <v>-4766</v>
      </c>
      <c r="E12" s="5">
        <v>0</v>
      </c>
      <c r="F12" s="6">
        <v>0</v>
      </c>
      <c r="G12" s="7">
        <f>F12-E12</f>
        <v>0</v>
      </c>
      <c r="H12" s="5">
        <v>0</v>
      </c>
      <c r="I12" s="6">
        <v>0</v>
      </c>
      <c r="J12" s="7">
        <f>I12-H12</f>
        <v>0</v>
      </c>
      <c r="K12" s="14">
        <v>0</v>
      </c>
      <c r="L12" s="15">
        <v>0</v>
      </c>
      <c r="M12" s="7">
        <f>L12-K12</f>
        <v>0</v>
      </c>
      <c r="N12" s="5">
        <v>42220</v>
      </c>
      <c r="O12" s="6">
        <v>40681</v>
      </c>
      <c r="P12" s="7">
        <f>O12-N12</f>
        <v>-1539</v>
      </c>
      <c r="Q12" s="12">
        <f>B12+E12+H12+K12+N12</f>
        <v>131003</v>
      </c>
      <c r="R12" s="6">
        <f>C12+F12+I12+L12+O12</f>
        <v>124698</v>
      </c>
      <c r="S12" s="14">
        <f>R12-Q12</f>
        <v>-6305</v>
      </c>
      <c r="T12" s="6">
        <f>R12/Q12*100</f>
        <v>95.18713311908887</v>
      </c>
    </row>
    <row r="13" spans="1:20" ht="30" x14ac:dyDescent="0.25">
      <c r="A13" s="42" t="s">
        <v>66</v>
      </c>
      <c r="B13" s="42">
        <v>0</v>
      </c>
      <c r="C13" s="6">
        <v>0</v>
      </c>
      <c r="D13" s="14">
        <f>C13-B13</f>
        <v>0</v>
      </c>
      <c r="E13" s="42">
        <v>0</v>
      </c>
      <c r="F13" s="6">
        <v>0</v>
      </c>
      <c r="G13" s="7">
        <f>F13-E13</f>
        <v>0</v>
      </c>
      <c r="H13" s="5">
        <v>0</v>
      </c>
      <c r="I13" s="6">
        <v>0</v>
      </c>
      <c r="J13" s="7">
        <f>I13-H13</f>
        <v>0</v>
      </c>
      <c r="K13" s="14">
        <v>0</v>
      </c>
      <c r="L13" s="15">
        <v>0</v>
      </c>
      <c r="M13" s="7">
        <f>L13-K13</f>
        <v>0</v>
      </c>
      <c r="N13" s="5">
        <v>0</v>
      </c>
      <c r="O13" s="6">
        <v>0</v>
      </c>
      <c r="P13" s="7">
        <f>O13-N13</f>
        <v>0</v>
      </c>
      <c r="Q13" s="12">
        <f>B13+E13+H13+K13+N13</f>
        <v>0</v>
      </c>
      <c r="R13" s="6">
        <f>C13+F13+I13+L13+O13</f>
        <v>0</v>
      </c>
      <c r="S13" s="14">
        <f>R13-Q13</f>
        <v>0</v>
      </c>
      <c r="T13" s="6" t="e">
        <f>R13/Q13*100</f>
        <v>#DIV/0!</v>
      </c>
    </row>
    <row r="14" spans="1:20" ht="30" x14ac:dyDescent="0.25">
      <c r="A14" s="42" t="s">
        <v>67</v>
      </c>
      <c r="B14" s="42">
        <v>11787</v>
      </c>
      <c r="C14" s="6">
        <v>11786</v>
      </c>
      <c r="D14" s="14">
        <f>C14-B14</f>
        <v>-1</v>
      </c>
      <c r="E14" s="5">
        <v>1748</v>
      </c>
      <c r="F14" s="6">
        <v>1748</v>
      </c>
      <c r="G14" s="7">
        <f>F14-E14</f>
        <v>0</v>
      </c>
      <c r="H14" s="5">
        <v>1983</v>
      </c>
      <c r="I14" s="6">
        <v>1983</v>
      </c>
      <c r="J14" s="7">
        <f>I14-H14</f>
        <v>0</v>
      </c>
      <c r="K14" s="14">
        <v>0</v>
      </c>
      <c r="L14" s="15">
        <v>0</v>
      </c>
      <c r="M14" s="7">
        <f>L14-K14</f>
        <v>0</v>
      </c>
      <c r="N14" s="5">
        <v>8198</v>
      </c>
      <c r="O14" s="6">
        <v>8199</v>
      </c>
      <c r="P14" s="7">
        <f>O14-N14</f>
        <v>1</v>
      </c>
      <c r="Q14" s="12">
        <f>B14+E14+H14+K14+N14</f>
        <v>23716</v>
      </c>
      <c r="R14" s="6">
        <f>C14+F14+I14+L14+O14</f>
        <v>23716</v>
      </c>
      <c r="S14" s="14">
        <f>R14-Q14</f>
        <v>0</v>
      </c>
      <c r="T14" s="6">
        <f>R14/Q14*100</f>
        <v>100</v>
      </c>
    </row>
    <row r="15" spans="1:20" ht="30" x14ac:dyDescent="0.25">
      <c r="A15" s="42" t="s">
        <v>68</v>
      </c>
      <c r="B15" s="42">
        <v>26999</v>
      </c>
      <c r="C15" s="6">
        <v>27109</v>
      </c>
      <c r="D15" s="14">
        <f>C15-B15</f>
        <v>110</v>
      </c>
      <c r="E15" s="5">
        <v>0</v>
      </c>
      <c r="F15" s="6">
        <v>0</v>
      </c>
      <c r="G15" s="7">
        <f>F15-E15</f>
        <v>0</v>
      </c>
      <c r="H15" s="5">
        <v>0</v>
      </c>
      <c r="I15" s="6">
        <v>0</v>
      </c>
      <c r="J15" s="7">
        <f>I15-H15</f>
        <v>0</v>
      </c>
      <c r="K15" s="14">
        <v>0</v>
      </c>
      <c r="L15" s="15">
        <v>0</v>
      </c>
      <c r="M15" s="7">
        <f>L15-K15</f>
        <v>0</v>
      </c>
      <c r="N15" s="5">
        <v>0</v>
      </c>
      <c r="O15" s="6">
        <v>256</v>
      </c>
      <c r="P15" s="7">
        <f>O15-N15</f>
        <v>256</v>
      </c>
      <c r="Q15" s="12">
        <f>B15+E15+H15+K15+N15</f>
        <v>26999</v>
      </c>
      <c r="R15" s="6">
        <f>C15+F15+I15+L15+O15</f>
        <v>27365</v>
      </c>
      <c r="S15" s="14">
        <f>R15-Q15</f>
        <v>366</v>
      </c>
      <c r="T15" s="6">
        <f>R15/Q15*100</f>
        <v>101.35560576317641</v>
      </c>
    </row>
    <row r="16" spans="1:20" ht="30" x14ac:dyDescent="0.25">
      <c r="A16" s="11" t="s">
        <v>69</v>
      </c>
      <c r="B16" s="42">
        <v>33000</v>
      </c>
      <c r="C16" s="6">
        <v>32526</v>
      </c>
      <c r="D16" s="14">
        <f>C16-B16</f>
        <v>-474</v>
      </c>
      <c r="E16" s="5">
        <v>21000</v>
      </c>
      <c r="F16" s="6">
        <v>20972</v>
      </c>
      <c r="G16" s="7">
        <f>F16-E16</f>
        <v>-28</v>
      </c>
      <c r="H16" s="5">
        <v>14948</v>
      </c>
      <c r="I16" s="6">
        <v>15000</v>
      </c>
      <c r="J16" s="7">
        <f>I16-H16</f>
        <v>52</v>
      </c>
      <c r="K16" s="14">
        <v>0</v>
      </c>
      <c r="L16" s="15">
        <v>0</v>
      </c>
      <c r="M16" s="7">
        <f>L16-K16</f>
        <v>0</v>
      </c>
      <c r="N16" s="5">
        <v>256</v>
      </c>
      <c r="O16" s="6">
        <v>0</v>
      </c>
      <c r="P16" s="7">
        <f>O16-N16</f>
        <v>-256</v>
      </c>
      <c r="Q16" s="12">
        <f>B16+E16+H16+K16+N16</f>
        <v>69204</v>
      </c>
      <c r="R16" s="6">
        <f>C16+F16+I16+L16+O16</f>
        <v>68498</v>
      </c>
      <c r="S16" s="14">
        <f>R16-Q16</f>
        <v>-706</v>
      </c>
      <c r="T16" s="6">
        <f>R16/Q16*100</f>
        <v>98.979827755621059</v>
      </c>
    </row>
    <row r="17" spans="1:20" ht="45" x14ac:dyDescent="0.25">
      <c r="A17" s="11" t="s">
        <v>70</v>
      </c>
      <c r="B17" s="11">
        <v>181099</v>
      </c>
      <c r="C17" s="13">
        <v>177176</v>
      </c>
      <c r="D17" s="14">
        <f>C17-B17</f>
        <v>-3923</v>
      </c>
      <c r="E17" s="12">
        <v>0</v>
      </c>
      <c r="F17" s="13">
        <v>0</v>
      </c>
      <c r="G17" s="14">
        <f>F17-E17</f>
        <v>0</v>
      </c>
      <c r="H17" s="12">
        <v>7100</v>
      </c>
      <c r="I17" s="13">
        <v>7136</v>
      </c>
      <c r="J17" s="14">
        <f>I17-H17</f>
        <v>36</v>
      </c>
      <c r="K17" s="14">
        <v>0</v>
      </c>
      <c r="L17" s="15">
        <v>0</v>
      </c>
      <c r="M17" s="14">
        <f>L17-K17</f>
        <v>0</v>
      </c>
      <c r="N17" s="12">
        <v>0</v>
      </c>
      <c r="O17" s="13">
        <v>489</v>
      </c>
      <c r="P17" s="14">
        <f>O17-N17</f>
        <v>489</v>
      </c>
      <c r="Q17" s="12">
        <f>B17+E17+H17+K17+N17</f>
        <v>188199</v>
      </c>
      <c r="R17" s="6">
        <f>C17+F17+I17+L17+O17</f>
        <v>184801</v>
      </c>
      <c r="S17" s="14">
        <f>R17-Q17</f>
        <v>-3398</v>
      </c>
      <c r="T17" s="6">
        <f>R17/Q17*100</f>
        <v>98.19446437016137</v>
      </c>
    </row>
    <row r="18" spans="1:20" x14ac:dyDescent="0.25">
      <c r="A18" s="11" t="s">
        <v>58</v>
      </c>
      <c r="B18" s="11">
        <v>49818</v>
      </c>
      <c r="C18" s="13">
        <v>49818</v>
      </c>
      <c r="D18" s="14">
        <f>C18-B18</f>
        <v>0</v>
      </c>
      <c r="E18" s="12">
        <v>12920</v>
      </c>
      <c r="F18" s="13">
        <v>9657</v>
      </c>
      <c r="G18" s="14">
        <f>F18-E18</f>
        <v>-3263</v>
      </c>
      <c r="H18" s="12">
        <v>21104</v>
      </c>
      <c r="I18" s="13">
        <v>21104</v>
      </c>
      <c r="J18" s="14">
        <f>I18-H18</f>
        <v>0</v>
      </c>
      <c r="K18" s="14">
        <v>0</v>
      </c>
      <c r="L18" s="15">
        <v>0</v>
      </c>
      <c r="M18" s="14">
        <f>L18-K18</f>
        <v>0</v>
      </c>
      <c r="N18" s="12">
        <v>62500</v>
      </c>
      <c r="O18" s="29">
        <v>62461</v>
      </c>
      <c r="P18" s="14">
        <f>O18-N18</f>
        <v>-39</v>
      </c>
      <c r="Q18" s="12">
        <f>B18+E18+H18+K18+N18</f>
        <v>146342</v>
      </c>
      <c r="R18" s="6">
        <f>C18+F18+I18+L18+O18</f>
        <v>143040</v>
      </c>
      <c r="S18" s="14">
        <f>R18-Q18</f>
        <v>-3302</v>
      </c>
      <c r="T18" s="6">
        <f>R18/Q18*100</f>
        <v>97.743641606647444</v>
      </c>
    </row>
    <row r="19" spans="1:20" ht="30" x14ac:dyDescent="0.25">
      <c r="A19" s="42" t="s">
        <v>71</v>
      </c>
      <c r="B19" s="42">
        <v>3000</v>
      </c>
      <c r="C19" s="6">
        <v>0</v>
      </c>
      <c r="D19" s="14">
        <f>C19-B19</f>
        <v>-3000</v>
      </c>
      <c r="E19" s="5">
        <v>0</v>
      </c>
      <c r="F19" s="6">
        <v>0</v>
      </c>
      <c r="G19" s="7">
        <f>F19-E19</f>
        <v>0</v>
      </c>
      <c r="H19" s="5">
        <v>0</v>
      </c>
      <c r="I19" s="6">
        <v>0</v>
      </c>
      <c r="J19" s="7">
        <f>I19-H19</f>
        <v>0</v>
      </c>
      <c r="K19" s="14">
        <v>0</v>
      </c>
      <c r="L19" s="15">
        <v>0</v>
      </c>
      <c r="M19" s="7">
        <f>L19-K19</f>
        <v>0</v>
      </c>
      <c r="N19" s="5">
        <v>0</v>
      </c>
      <c r="O19" s="10">
        <v>0</v>
      </c>
      <c r="P19" s="7">
        <f>O19-N19</f>
        <v>0</v>
      </c>
      <c r="Q19" s="12">
        <f>B19+E19+H19+K19+N19</f>
        <v>3000</v>
      </c>
      <c r="R19" s="6">
        <f>C19+F19+I19+L19+O19</f>
        <v>0</v>
      </c>
      <c r="S19" s="14">
        <f>R19-Q19</f>
        <v>-3000</v>
      </c>
      <c r="T19" s="6">
        <f>R19/Q19*100</f>
        <v>0</v>
      </c>
    </row>
    <row r="20" spans="1:20" x14ac:dyDescent="0.25">
      <c r="A20" s="42" t="s">
        <v>59</v>
      </c>
      <c r="B20" s="42">
        <v>0</v>
      </c>
      <c r="C20" s="6">
        <v>0</v>
      </c>
      <c r="D20" s="14">
        <f>C20-B20</f>
        <v>0</v>
      </c>
      <c r="E20" s="5">
        <v>0</v>
      </c>
      <c r="F20" s="6">
        <v>0</v>
      </c>
      <c r="G20" s="7">
        <f>F20-E20</f>
        <v>0</v>
      </c>
      <c r="H20" s="5">
        <v>0</v>
      </c>
      <c r="I20" s="6">
        <v>0</v>
      </c>
      <c r="J20" s="7">
        <f>I20-H20</f>
        <v>0</v>
      </c>
      <c r="K20" s="14">
        <v>0</v>
      </c>
      <c r="L20" s="15">
        <v>0</v>
      </c>
      <c r="M20" s="7">
        <f>L20-K20</f>
        <v>0</v>
      </c>
      <c r="N20" s="5">
        <v>1378</v>
      </c>
      <c r="O20" s="6">
        <v>1109</v>
      </c>
      <c r="P20" s="7">
        <f>O20-N20</f>
        <v>-269</v>
      </c>
      <c r="Q20" s="12">
        <f>B20+E20+H20+K20+N20</f>
        <v>1378</v>
      </c>
      <c r="R20" s="6">
        <f>C20+F20+I20+L20+O20</f>
        <v>1109</v>
      </c>
      <c r="S20" s="14">
        <f>R20-Q20</f>
        <v>-269</v>
      </c>
      <c r="T20" s="6">
        <f>R20/Q20*100</f>
        <v>80.478955007256886</v>
      </c>
    </row>
    <row r="21" spans="1:20" x14ac:dyDescent="0.25">
      <c r="A21" s="43" t="s">
        <v>16</v>
      </c>
      <c r="B21" s="42">
        <f>SUM(B5:B20)</f>
        <v>458194</v>
      </c>
      <c r="C21" s="1">
        <f>SUM(C5:C20)</f>
        <v>463909</v>
      </c>
      <c r="D21" s="14">
        <f>C21-B21</f>
        <v>5715</v>
      </c>
      <c r="E21" s="42">
        <f>SUM(E5:E20)</f>
        <v>37245</v>
      </c>
      <c r="F21" s="1">
        <f>SUM(F5:F20)</f>
        <v>51208</v>
      </c>
      <c r="G21" s="7">
        <f>F21-E21</f>
        <v>13963</v>
      </c>
      <c r="H21" s="42">
        <f>SUM(H5:H20)</f>
        <v>45145</v>
      </c>
      <c r="I21" s="1">
        <f>SUM(I5:I20)</f>
        <v>45223</v>
      </c>
      <c r="J21" s="7">
        <f>I21-H21</f>
        <v>78</v>
      </c>
      <c r="K21" s="1">
        <f>SUM(K5:K20)</f>
        <v>4337312</v>
      </c>
      <c r="L21" s="1">
        <f>SUM(L5:L20)</f>
        <v>6172340</v>
      </c>
      <c r="M21" s="7">
        <f>L21-K21</f>
        <v>1835028</v>
      </c>
      <c r="N21" s="42">
        <f>SUM(N5:N20)</f>
        <v>1343849</v>
      </c>
      <c r="O21" s="1">
        <f>SUM(O5:O20)</f>
        <v>987017</v>
      </c>
      <c r="P21" s="7">
        <f>O21-N21</f>
        <v>-356832</v>
      </c>
      <c r="Q21" s="12">
        <f>B21+E21+H21+K21+N21</f>
        <v>6221745</v>
      </c>
      <c r="R21" s="6">
        <f>C21+F21+I21+L21+O21</f>
        <v>7719697</v>
      </c>
      <c r="S21" s="14">
        <f>R21-Q21</f>
        <v>1497952</v>
      </c>
      <c r="T21" s="6">
        <f>R21/Q21*100</f>
        <v>124.07607512040433</v>
      </c>
    </row>
    <row r="22" spans="1:20" x14ac:dyDescent="0.25">
      <c r="A22" s="18"/>
      <c r="B22" s="19"/>
      <c r="C22" s="18"/>
      <c r="D22" s="20"/>
      <c r="E22" s="19"/>
      <c r="F22" s="18"/>
      <c r="G22" s="20"/>
      <c r="H22" s="19"/>
      <c r="I22" s="18"/>
      <c r="J22" s="20"/>
      <c r="K22" s="18"/>
      <c r="L22" s="18"/>
      <c r="M22" s="20"/>
      <c r="N22" s="19"/>
      <c r="O22" s="18"/>
      <c r="P22" s="20"/>
      <c r="Q22" s="19"/>
      <c r="R22" s="18"/>
      <c r="S22" s="20"/>
    </row>
    <row r="24" spans="1:20" x14ac:dyDescent="0.25">
      <c r="P24" t="s">
        <v>27</v>
      </c>
    </row>
    <row r="25" spans="1:20" x14ac:dyDescent="0.25">
      <c r="P25" t="s">
        <v>29</v>
      </c>
    </row>
    <row r="28" spans="1:20" ht="34.5" customHeight="1" x14ac:dyDescent="0.25">
      <c r="A28" s="58" t="s">
        <v>75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</row>
    <row r="29" spans="1:20" x14ac:dyDescent="0.25">
      <c r="A29" s="44" t="s">
        <v>0</v>
      </c>
      <c r="B29" s="44" t="s">
        <v>74</v>
      </c>
      <c r="C29" s="44"/>
      <c r="D29" s="44"/>
      <c r="E29" s="47" t="s">
        <v>52</v>
      </c>
      <c r="F29" s="49"/>
      <c r="G29" s="48"/>
      <c r="H29" s="47" t="s">
        <v>53</v>
      </c>
      <c r="I29" s="49"/>
      <c r="J29" s="48"/>
      <c r="K29" s="47" t="s">
        <v>54</v>
      </c>
      <c r="L29" s="49"/>
      <c r="M29" s="48"/>
      <c r="N29" s="47" t="s">
        <v>55</v>
      </c>
      <c r="O29" s="49"/>
      <c r="P29" s="48"/>
      <c r="Q29" s="44" t="s">
        <v>22</v>
      </c>
      <c r="R29" s="44"/>
      <c r="S29" s="44"/>
      <c r="T29" s="44"/>
    </row>
    <row r="30" spans="1:20" ht="45" x14ac:dyDescent="0.25">
      <c r="A30" s="44"/>
      <c r="B30" s="42" t="s">
        <v>48</v>
      </c>
      <c r="C30" s="5" t="s">
        <v>23</v>
      </c>
      <c r="D30" s="42" t="s">
        <v>24</v>
      </c>
      <c r="E30" s="42" t="s">
        <v>48</v>
      </c>
      <c r="F30" s="5" t="s">
        <v>23</v>
      </c>
      <c r="G30" s="42" t="s">
        <v>24</v>
      </c>
      <c r="H30" s="42" t="s">
        <v>48</v>
      </c>
      <c r="I30" s="5" t="s">
        <v>23</v>
      </c>
      <c r="J30" s="42" t="s">
        <v>24</v>
      </c>
      <c r="K30" s="42" t="s">
        <v>48</v>
      </c>
      <c r="L30" s="5" t="s">
        <v>23</v>
      </c>
      <c r="M30" s="42" t="s">
        <v>24</v>
      </c>
      <c r="N30" s="42" t="s">
        <v>48</v>
      </c>
      <c r="O30" s="5" t="s">
        <v>23</v>
      </c>
      <c r="P30" s="42" t="s">
        <v>24</v>
      </c>
      <c r="Q30" s="42" t="s">
        <v>48</v>
      </c>
      <c r="R30" s="5" t="s">
        <v>23</v>
      </c>
      <c r="S30" s="42" t="s">
        <v>24</v>
      </c>
      <c r="T30" s="5" t="s">
        <v>37</v>
      </c>
    </row>
    <row r="31" spans="1:20" ht="30" x14ac:dyDescent="0.25">
      <c r="A31" s="11" t="s">
        <v>60</v>
      </c>
      <c r="B31" s="12">
        <v>146190</v>
      </c>
      <c r="C31" s="13">
        <v>15005</v>
      </c>
      <c r="D31" s="14">
        <f>C31-B31</f>
        <v>-131185</v>
      </c>
      <c r="E31" s="11">
        <v>0</v>
      </c>
      <c r="F31" s="3">
        <v>0</v>
      </c>
      <c r="G31" s="14">
        <f>F31-E31</f>
        <v>0</v>
      </c>
      <c r="H31" s="11">
        <v>0</v>
      </c>
      <c r="I31" s="3">
        <v>0</v>
      </c>
      <c r="J31" s="14">
        <f>I31-H31</f>
        <v>0</v>
      </c>
      <c r="K31" s="14">
        <v>0</v>
      </c>
      <c r="L31" s="15">
        <v>0</v>
      </c>
      <c r="M31" s="14">
        <f>L31-K31</f>
        <v>0</v>
      </c>
      <c r="N31" s="12">
        <v>14713</v>
      </c>
      <c r="O31" s="13">
        <v>0</v>
      </c>
      <c r="P31" s="14">
        <f>O31-N31</f>
        <v>-14713</v>
      </c>
      <c r="Q31" s="12">
        <f>B31+E31+H31+K31+N31</f>
        <v>160903</v>
      </c>
      <c r="R31" s="13">
        <f>C31+F31+I31+L31+O31</f>
        <v>15005</v>
      </c>
      <c r="S31" s="14">
        <f>R31-Q31</f>
        <v>-145898</v>
      </c>
      <c r="T31" s="6">
        <f>R31/Q31*100</f>
        <v>9.3254942418724323</v>
      </c>
    </row>
    <row r="32" spans="1:20" ht="30" x14ac:dyDescent="0.25">
      <c r="A32" s="42" t="s">
        <v>56</v>
      </c>
      <c r="B32" s="42">
        <v>4107</v>
      </c>
      <c r="C32" s="6">
        <v>2434</v>
      </c>
      <c r="D32" s="14">
        <f>C32-B32</f>
        <v>-1673</v>
      </c>
      <c r="E32" s="5">
        <v>14120</v>
      </c>
      <c r="F32" s="1">
        <v>244</v>
      </c>
      <c r="G32" s="14">
        <f>F32-E32</f>
        <v>-13876</v>
      </c>
      <c r="H32" s="5">
        <v>14000</v>
      </c>
      <c r="I32" s="6">
        <v>0</v>
      </c>
      <c r="J32" s="14">
        <f>I32-H32</f>
        <v>-14000</v>
      </c>
      <c r="K32" s="7">
        <v>0</v>
      </c>
      <c r="L32" s="8">
        <v>0</v>
      </c>
      <c r="M32" s="14">
        <f>L32-K32</f>
        <v>0</v>
      </c>
      <c r="N32" s="5">
        <v>0</v>
      </c>
      <c r="O32" s="6">
        <v>0</v>
      </c>
      <c r="P32" s="14">
        <f>O32-N32</f>
        <v>0</v>
      </c>
      <c r="Q32" s="12">
        <f t="shared" ref="Q32:R47" si="0">B32+E32+H32+K32+N32</f>
        <v>32227</v>
      </c>
      <c r="R32" s="13">
        <f t="shared" si="0"/>
        <v>2678</v>
      </c>
      <c r="S32" s="14">
        <f>R32-Q32</f>
        <v>-29549</v>
      </c>
      <c r="T32" s="6">
        <f>R32/Q32*100</f>
        <v>8.3098023396530856</v>
      </c>
    </row>
    <row r="33" spans="1:20" ht="30" x14ac:dyDescent="0.25">
      <c r="A33" s="42" t="s">
        <v>57</v>
      </c>
      <c r="B33" s="42">
        <v>0</v>
      </c>
      <c r="C33" s="6">
        <v>0</v>
      </c>
      <c r="D33" s="14">
        <f>C33-B33</f>
        <v>0</v>
      </c>
      <c r="E33" s="5">
        <v>0</v>
      </c>
      <c r="F33" s="6">
        <v>0</v>
      </c>
      <c r="G33" s="14">
        <f>F33-E33</f>
        <v>0</v>
      </c>
      <c r="H33" s="5">
        <v>0</v>
      </c>
      <c r="I33" s="6">
        <v>0</v>
      </c>
      <c r="J33" s="14">
        <f>I33-H33</f>
        <v>0</v>
      </c>
      <c r="K33" s="7">
        <v>120318</v>
      </c>
      <c r="L33" s="8">
        <v>32522</v>
      </c>
      <c r="M33" s="14">
        <f>L33-K33</f>
        <v>-87796</v>
      </c>
      <c r="N33" s="5">
        <v>0</v>
      </c>
      <c r="O33" s="6">
        <v>0</v>
      </c>
      <c r="P33" s="14">
        <f>O33-N33</f>
        <v>0</v>
      </c>
      <c r="Q33" s="12">
        <f t="shared" si="0"/>
        <v>120318</v>
      </c>
      <c r="R33" s="13">
        <f t="shared" si="0"/>
        <v>32522</v>
      </c>
      <c r="S33" s="14">
        <f>R33-Q33</f>
        <v>-87796</v>
      </c>
      <c r="T33" s="6">
        <f>R33/Q33*100</f>
        <v>27.030037068435313</v>
      </c>
    </row>
    <row r="34" spans="1:20" ht="30" x14ac:dyDescent="0.25">
      <c r="A34" s="11" t="s">
        <v>61</v>
      </c>
      <c r="B34" s="42">
        <v>0</v>
      </c>
      <c r="C34" s="6">
        <v>0</v>
      </c>
      <c r="D34" s="14">
        <f>C34-B34</f>
        <v>0</v>
      </c>
      <c r="E34" s="5">
        <v>0</v>
      </c>
      <c r="F34" s="6">
        <v>0</v>
      </c>
      <c r="G34" s="14">
        <f>F34-E34</f>
        <v>0</v>
      </c>
      <c r="H34" s="5">
        <v>0</v>
      </c>
      <c r="I34" s="6">
        <v>0</v>
      </c>
      <c r="J34" s="14">
        <f>I34-H34</f>
        <v>0</v>
      </c>
      <c r="K34" s="7">
        <v>316420</v>
      </c>
      <c r="L34" s="8">
        <v>170892</v>
      </c>
      <c r="M34" s="14">
        <f>L34-K34</f>
        <v>-145528</v>
      </c>
      <c r="N34" s="5">
        <v>191000</v>
      </c>
      <c r="O34" s="6">
        <v>74507</v>
      </c>
      <c r="P34" s="14">
        <f>O34-N34</f>
        <v>-116493</v>
      </c>
      <c r="Q34" s="12">
        <f t="shared" si="0"/>
        <v>507420</v>
      </c>
      <c r="R34" s="13">
        <f t="shared" si="0"/>
        <v>245399</v>
      </c>
      <c r="S34" s="14">
        <f>R34-Q34</f>
        <v>-262021</v>
      </c>
      <c r="T34" s="6">
        <f>R34/Q34*100</f>
        <v>48.36210634188641</v>
      </c>
    </row>
    <row r="35" spans="1:20" ht="30" x14ac:dyDescent="0.25">
      <c r="A35" s="11" t="s">
        <v>62</v>
      </c>
      <c r="B35" s="42">
        <v>0</v>
      </c>
      <c r="C35" s="6">
        <v>0</v>
      </c>
      <c r="D35" s="14">
        <f>C35-B35</f>
        <v>0</v>
      </c>
      <c r="E35" s="5">
        <v>0</v>
      </c>
      <c r="F35" s="6">
        <v>0</v>
      </c>
      <c r="G35" s="14">
        <f>F35-E35</f>
        <v>0</v>
      </c>
      <c r="H35" s="5">
        <v>0</v>
      </c>
      <c r="I35" s="6">
        <v>0</v>
      </c>
      <c r="J35" s="14">
        <f>I35-H35</f>
        <v>0</v>
      </c>
      <c r="K35" s="7">
        <v>2645397</v>
      </c>
      <c r="L35" s="8">
        <v>1158842</v>
      </c>
      <c r="M35" s="14">
        <f>L35-K35</f>
        <v>-1486555</v>
      </c>
      <c r="N35" s="5">
        <v>317398</v>
      </c>
      <c r="O35" s="6">
        <v>86302</v>
      </c>
      <c r="P35" s="14">
        <f>O35-N35</f>
        <v>-231096</v>
      </c>
      <c r="Q35" s="12">
        <f t="shared" si="0"/>
        <v>2962795</v>
      </c>
      <c r="R35" s="13">
        <f t="shared" si="0"/>
        <v>1245144</v>
      </c>
      <c r="S35" s="14">
        <f>R35-Q35</f>
        <v>-1717651</v>
      </c>
      <c r="T35" s="6">
        <f>R35/Q35*100</f>
        <v>42.025992348441257</v>
      </c>
    </row>
    <row r="36" spans="1:20" ht="30" x14ac:dyDescent="0.25">
      <c r="A36" s="11" t="s">
        <v>63</v>
      </c>
      <c r="B36" s="11">
        <v>20</v>
      </c>
      <c r="C36" s="13">
        <v>0</v>
      </c>
      <c r="D36" s="14">
        <f>C36-B36</f>
        <v>-20</v>
      </c>
      <c r="E36" s="12">
        <v>0</v>
      </c>
      <c r="F36" s="13">
        <v>0</v>
      </c>
      <c r="G36" s="14">
        <f>F36-E36</f>
        <v>0</v>
      </c>
      <c r="H36" s="12">
        <v>0</v>
      </c>
      <c r="I36" s="13">
        <v>0</v>
      </c>
      <c r="J36" s="14">
        <f>I36-H36</f>
        <v>0</v>
      </c>
      <c r="K36" s="14">
        <v>35380</v>
      </c>
      <c r="L36" s="15">
        <v>10763</v>
      </c>
      <c r="M36" s="14">
        <f>L36-K36</f>
        <v>-24617</v>
      </c>
      <c r="N36" s="12">
        <v>96867</v>
      </c>
      <c r="O36" s="13">
        <v>78978</v>
      </c>
      <c r="P36" s="14">
        <f>O36-N36</f>
        <v>-17889</v>
      </c>
      <c r="Q36" s="12">
        <f t="shared" si="0"/>
        <v>132267</v>
      </c>
      <c r="R36" s="13">
        <f t="shared" si="0"/>
        <v>89741</v>
      </c>
      <c r="S36" s="14">
        <f>R36-Q36</f>
        <v>-42526</v>
      </c>
      <c r="T36" s="6">
        <f>R36/Q36*100</f>
        <v>67.848367317622689</v>
      </c>
    </row>
    <row r="37" spans="1:20" ht="30" x14ac:dyDescent="0.25">
      <c r="A37" s="11" t="s">
        <v>64</v>
      </c>
      <c r="B37" s="11">
        <v>159700</v>
      </c>
      <c r="C37" s="13">
        <v>7634</v>
      </c>
      <c r="D37" s="14">
        <f>C37-B37</f>
        <v>-152066</v>
      </c>
      <c r="E37" s="12">
        <v>0</v>
      </c>
      <c r="F37" s="13">
        <v>0</v>
      </c>
      <c r="G37" s="14">
        <f>F37-E37</f>
        <v>0</v>
      </c>
      <c r="H37" s="5">
        <v>0</v>
      </c>
      <c r="I37" s="13">
        <v>0</v>
      </c>
      <c r="J37" s="14">
        <f>I37-H37</f>
        <v>0</v>
      </c>
      <c r="K37" s="14">
        <v>0</v>
      </c>
      <c r="L37" s="15">
        <v>0</v>
      </c>
      <c r="M37" s="14">
        <f>L37-K37</f>
        <v>0</v>
      </c>
      <c r="N37" s="11">
        <v>363143</v>
      </c>
      <c r="O37" s="13">
        <v>65091</v>
      </c>
      <c r="P37" s="14">
        <f>O37-N37</f>
        <v>-298052</v>
      </c>
      <c r="Q37" s="12">
        <f t="shared" si="0"/>
        <v>522843</v>
      </c>
      <c r="R37" s="13">
        <f t="shared" si="0"/>
        <v>72725</v>
      </c>
      <c r="S37" s="14">
        <f>R37-Q37</f>
        <v>-450118</v>
      </c>
      <c r="T37" s="6">
        <f>R37/Q37*100</f>
        <v>13.909529246829354</v>
      </c>
    </row>
    <row r="38" spans="1:20" ht="45" x14ac:dyDescent="0.25">
      <c r="A38" s="42" t="s">
        <v>65</v>
      </c>
      <c r="B38" s="42">
        <v>174056</v>
      </c>
      <c r="C38" s="6">
        <v>63149</v>
      </c>
      <c r="D38" s="14">
        <f>C38-B38</f>
        <v>-110907</v>
      </c>
      <c r="E38" s="5">
        <v>0</v>
      </c>
      <c r="F38" s="6">
        <v>0</v>
      </c>
      <c r="G38" s="14">
        <f>F38-E38</f>
        <v>0</v>
      </c>
      <c r="H38" s="5">
        <v>25830</v>
      </c>
      <c r="I38" s="6">
        <v>0</v>
      </c>
      <c r="J38" s="14">
        <f>I38-H38</f>
        <v>-25830</v>
      </c>
      <c r="K38" s="14">
        <v>0</v>
      </c>
      <c r="L38" s="15">
        <v>0</v>
      </c>
      <c r="M38" s="14">
        <f>L38-K38</f>
        <v>0</v>
      </c>
      <c r="N38" s="5">
        <v>107957</v>
      </c>
      <c r="O38" s="6">
        <v>11009</v>
      </c>
      <c r="P38" s="14">
        <f>O38-N38</f>
        <v>-96948</v>
      </c>
      <c r="Q38" s="12">
        <f t="shared" si="0"/>
        <v>307843</v>
      </c>
      <c r="R38" s="13">
        <f t="shared" si="0"/>
        <v>74158</v>
      </c>
      <c r="S38" s="14">
        <f>R38-Q38</f>
        <v>-233685</v>
      </c>
      <c r="T38" s="6">
        <f>R38/Q38*100</f>
        <v>24.089552141838535</v>
      </c>
    </row>
    <row r="39" spans="1:20" ht="30" x14ac:dyDescent="0.25">
      <c r="A39" s="42" t="s">
        <v>66</v>
      </c>
      <c r="B39" s="42">
        <v>0</v>
      </c>
      <c r="C39" s="6">
        <v>0</v>
      </c>
      <c r="D39" s="14">
        <f>C39-B39</f>
        <v>0</v>
      </c>
      <c r="E39" s="42">
        <v>0</v>
      </c>
      <c r="F39" s="6">
        <v>0</v>
      </c>
      <c r="G39" s="14">
        <f>F39-E39</f>
        <v>0</v>
      </c>
      <c r="H39" s="5">
        <v>0</v>
      </c>
      <c r="I39" s="6">
        <v>0</v>
      </c>
      <c r="J39" s="14">
        <f>I39-H39</f>
        <v>0</v>
      </c>
      <c r="K39" s="14">
        <v>0</v>
      </c>
      <c r="L39" s="15">
        <v>0</v>
      </c>
      <c r="M39" s="14">
        <f>L39-K39</f>
        <v>0</v>
      </c>
      <c r="N39" s="5">
        <v>0</v>
      </c>
      <c r="O39" s="6">
        <v>0</v>
      </c>
      <c r="P39" s="14">
        <f>O39-N39</f>
        <v>0</v>
      </c>
      <c r="Q39" s="12">
        <f t="shared" si="0"/>
        <v>0</v>
      </c>
      <c r="R39" s="13">
        <f t="shared" si="0"/>
        <v>0</v>
      </c>
      <c r="S39" s="14">
        <f>R39-Q39</f>
        <v>0</v>
      </c>
      <c r="T39" s="6" t="e">
        <f>R39/Q39*100</f>
        <v>#DIV/0!</v>
      </c>
    </row>
    <row r="40" spans="1:20" ht="30" x14ac:dyDescent="0.25">
      <c r="A40" s="42" t="s">
        <v>67</v>
      </c>
      <c r="B40" s="6">
        <v>10884</v>
      </c>
      <c r="C40" s="6">
        <v>0</v>
      </c>
      <c r="D40" s="14">
        <f>C40-B40</f>
        <v>-10884</v>
      </c>
      <c r="E40" s="5">
        <v>1</v>
      </c>
      <c r="F40" s="6">
        <v>0</v>
      </c>
      <c r="G40" s="14">
        <f>F40-E40</f>
        <v>-1</v>
      </c>
      <c r="H40" s="5">
        <v>309</v>
      </c>
      <c r="I40" s="6">
        <v>0</v>
      </c>
      <c r="J40" s="14">
        <f>I40-H40</f>
        <v>-309</v>
      </c>
      <c r="K40" s="14">
        <v>0</v>
      </c>
      <c r="L40" s="15">
        <v>0</v>
      </c>
      <c r="M40" s="14">
        <f>L40-K40</f>
        <v>0</v>
      </c>
      <c r="N40" s="5">
        <v>2000</v>
      </c>
      <c r="O40" s="6">
        <v>1637</v>
      </c>
      <c r="P40" s="14">
        <f>O40-N40</f>
        <v>-363</v>
      </c>
      <c r="Q40" s="12">
        <f t="shared" si="0"/>
        <v>13194</v>
      </c>
      <c r="R40" s="13">
        <f t="shared" si="0"/>
        <v>1637</v>
      </c>
      <c r="S40" s="14">
        <f>R40-Q40</f>
        <v>-11557</v>
      </c>
      <c r="T40" s="6">
        <f>R40/Q40*100</f>
        <v>12.407154767318477</v>
      </c>
    </row>
    <row r="41" spans="1:20" ht="30" x14ac:dyDescent="0.25">
      <c r="A41" s="42" t="s">
        <v>68</v>
      </c>
      <c r="B41" s="42">
        <v>35702</v>
      </c>
      <c r="C41" s="6">
        <v>0</v>
      </c>
      <c r="D41" s="14">
        <f>C41-B41</f>
        <v>-35702</v>
      </c>
      <c r="E41" s="5">
        <v>2000</v>
      </c>
      <c r="F41" s="6">
        <v>0</v>
      </c>
      <c r="G41" s="14">
        <f>F41-E41</f>
        <v>-2000</v>
      </c>
      <c r="H41" s="5">
        <v>5000</v>
      </c>
      <c r="I41" s="6">
        <v>0</v>
      </c>
      <c r="J41" s="14">
        <f>I41-H41</f>
        <v>-5000</v>
      </c>
      <c r="K41" s="14">
        <v>0</v>
      </c>
      <c r="L41" s="15">
        <v>0</v>
      </c>
      <c r="M41" s="14">
        <f>L41-K41</f>
        <v>0</v>
      </c>
      <c r="N41" s="5">
        <v>11000</v>
      </c>
      <c r="O41" s="6">
        <v>0</v>
      </c>
      <c r="P41" s="14">
        <f>O41-N41</f>
        <v>-11000</v>
      </c>
      <c r="Q41" s="12">
        <f t="shared" si="0"/>
        <v>53702</v>
      </c>
      <c r="R41" s="13">
        <f t="shared" si="0"/>
        <v>0</v>
      </c>
      <c r="S41" s="14">
        <f>R41-Q41</f>
        <v>-53702</v>
      </c>
      <c r="T41" s="6">
        <f>R41/Q41*100</f>
        <v>0</v>
      </c>
    </row>
    <row r="42" spans="1:20" ht="30" x14ac:dyDescent="0.25">
      <c r="A42" s="11" t="s">
        <v>69</v>
      </c>
      <c r="B42" s="42">
        <v>62500</v>
      </c>
      <c r="C42" s="6">
        <v>14261</v>
      </c>
      <c r="D42" s="14">
        <f>C42-B42</f>
        <v>-48239</v>
      </c>
      <c r="E42" s="5">
        <v>12000</v>
      </c>
      <c r="F42" s="6">
        <v>3928</v>
      </c>
      <c r="G42" s="14">
        <f>F42-E42</f>
        <v>-8072</v>
      </c>
      <c r="H42" s="5">
        <v>23000</v>
      </c>
      <c r="I42" s="6">
        <v>0</v>
      </c>
      <c r="J42" s="14">
        <f>I42-H42</f>
        <v>-23000</v>
      </c>
      <c r="K42" s="14">
        <v>0</v>
      </c>
      <c r="L42" s="15">
        <v>0</v>
      </c>
      <c r="M42" s="14">
        <f>L42-K42</f>
        <v>0</v>
      </c>
      <c r="N42" s="5">
        <v>0</v>
      </c>
      <c r="O42" s="6">
        <v>0</v>
      </c>
      <c r="P42" s="14">
        <f>O42-N42</f>
        <v>0</v>
      </c>
      <c r="Q42" s="12">
        <f t="shared" si="0"/>
        <v>97500</v>
      </c>
      <c r="R42" s="13">
        <f t="shared" si="0"/>
        <v>18189</v>
      </c>
      <c r="S42" s="14">
        <f>R42-Q42</f>
        <v>-79311</v>
      </c>
      <c r="T42" s="6">
        <f>R42/Q42*100</f>
        <v>18.655384615384616</v>
      </c>
    </row>
    <row r="43" spans="1:20" ht="45" x14ac:dyDescent="0.25">
      <c r="A43" s="11" t="s">
        <v>70</v>
      </c>
      <c r="B43" s="11">
        <v>285610</v>
      </c>
      <c r="C43" s="13">
        <v>42405</v>
      </c>
      <c r="D43" s="14">
        <f>C43-B43</f>
        <v>-243205</v>
      </c>
      <c r="E43" s="12">
        <v>0</v>
      </c>
      <c r="F43" s="13">
        <v>0</v>
      </c>
      <c r="G43" s="14">
        <f>F43-E43</f>
        <v>0</v>
      </c>
      <c r="H43" s="12">
        <v>450</v>
      </c>
      <c r="I43" s="13">
        <v>1205</v>
      </c>
      <c r="J43" s="14">
        <f>I43-H43</f>
        <v>755</v>
      </c>
      <c r="K43" s="14">
        <v>0</v>
      </c>
      <c r="L43" s="15">
        <v>0</v>
      </c>
      <c r="M43" s="14">
        <f>L43-K43</f>
        <v>0</v>
      </c>
      <c r="N43" s="12">
        <v>24852</v>
      </c>
      <c r="O43" s="13">
        <v>1769</v>
      </c>
      <c r="P43" s="14">
        <f>O43-N43</f>
        <v>-23083</v>
      </c>
      <c r="Q43" s="12">
        <f t="shared" si="0"/>
        <v>310912</v>
      </c>
      <c r="R43" s="13">
        <f t="shared" si="0"/>
        <v>45379</v>
      </c>
      <c r="S43" s="14">
        <f>R43-Q43</f>
        <v>-265533</v>
      </c>
      <c r="T43" s="6">
        <f>R43/Q43*100</f>
        <v>14.595448229724168</v>
      </c>
    </row>
    <row r="44" spans="1:20" x14ac:dyDescent="0.25">
      <c r="A44" s="11" t="s">
        <v>58</v>
      </c>
      <c r="B44" s="11">
        <v>69550</v>
      </c>
      <c r="C44" s="13">
        <v>15641</v>
      </c>
      <c r="D44" s="14">
        <f>C44-B44</f>
        <v>-53909</v>
      </c>
      <c r="E44" s="12">
        <v>12111</v>
      </c>
      <c r="F44" s="13">
        <v>7854</v>
      </c>
      <c r="G44" s="14">
        <f>F44-E44</f>
        <v>-4257</v>
      </c>
      <c r="H44" s="12">
        <v>62003</v>
      </c>
      <c r="I44" s="13">
        <v>5636</v>
      </c>
      <c r="J44" s="14">
        <f>I44-H44</f>
        <v>-56367</v>
      </c>
      <c r="K44" s="14">
        <v>0</v>
      </c>
      <c r="L44" s="15">
        <v>0</v>
      </c>
      <c r="M44" s="14">
        <f>L44-K44</f>
        <v>0</v>
      </c>
      <c r="N44" s="12">
        <v>172069</v>
      </c>
      <c r="O44" s="29">
        <v>34767</v>
      </c>
      <c r="P44" s="14">
        <f>O44-N44</f>
        <v>-137302</v>
      </c>
      <c r="Q44" s="12">
        <f t="shared" si="0"/>
        <v>315733</v>
      </c>
      <c r="R44" s="13">
        <f t="shared" si="0"/>
        <v>63898</v>
      </c>
      <c r="S44" s="14">
        <f>R44-Q44</f>
        <v>-251835</v>
      </c>
      <c r="T44" s="6">
        <f>R44/Q44*100</f>
        <v>20.23798589314389</v>
      </c>
    </row>
    <row r="45" spans="1:20" ht="30" x14ac:dyDescent="0.25">
      <c r="A45" s="42" t="s">
        <v>71</v>
      </c>
      <c r="B45" s="42">
        <v>64034</v>
      </c>
      <c r="C45" s="6">
        <v>0</v>
      </c>
      <c r="D45" s="14">
        <f>C45-B45</f>
        <v>-64034</v>
      </c>
      <c r="E45" s="5">
        <v>0</v>
      </c>
      <c r="F45" s="6">
        <v>0</v>
      </c>
      <c r="G45" s="14">
        <f>F45-E45</f>
        <v>0</v>
      </c>
      <c r="H45" s="5">
        <v>0</v>
      </c>
      <c r="I45" s="6">
        <v>0</v>
      </c>
      <c r="J45" s="14">
        <f>I45-H45</f>
        <v>0</v>
      </c>
      <c r="K45" s="14">
        <v>0</v>
      </c>
      <c r="L45" s="15">
        <v>0</v>
      </c>
      <c r="M45" s="14">
        <f>L45-K45</f>
        <v>0</v>
      </c>
      <c r="N45" s="5">
        <v>0</v>
      </c>
      <c r="O45" s="10">
        <v>0</v>
      </c>
      <c r="P45" s="14">
        <f>O45-N45</f>
        <v>0</v>
      </c>
      <c r="Q45" s="12">
        <f t="shared" si="0"/>
        <v>64034</v>
      </c>
      <c r="R45" s="13">
        <f t="shared" si="0"/>
        <v>0</v>
      </c>
      <c r="S45" s="14">
        <f>R45-Q45</f>
        <v>-64034</v>
      </c>
      <c r="T45" s="6">
        <f>R45/Q45*100</f>
        <v>0</v>
      </c>
    </row>
    <row r="46" spans="1:20" ht="30" x14ac:dyDescent="0.25">
      <c r="A46" s="42" t="s">
        <v>59</v>
      </c>
      <c r="B46" s="42">
        <v>6000</v>
      </c>
      <c r="C46" s="6">
        <v>0</v>
      </c>
      <c r="D46" s="14">
        <f>C46-B46</f>
        <v>-6000</v>
      </c>
      <c r="E46" s="5">
        <v>0</v>
      </c>
      <c r="F46" s="6">
        <v>0</v>
      </c>
      <c r="G46" s="14">
        <f>F46-E46</f>
        <v>0</v>
      </c>
      <c r="H46" s="5">
        <v>0</v>
      </c>
      <c r="I46" s="6">
        <v>0</v>
      </c>
      <c r="J46" s="14">
        <f>I46-H46</f>
        <v>0</v>
      </c>
      <c r="K46" s="14">
        <v>0</v>
      </c>
      <c r="L46" s="15">
        <v>0</v>
      </c>
      <c r="M46" s="14">
        <f>L46-K46</f>
        <v>0</v>
      </c>
      <c r="N46" s="5">
        <v>10</v>
      </c>
      <c r="O46" s="6">
        <v>0</v>
      </c>
      <c r="P46" s="14">
        <f>O46-N46</f>
        <v>-10</v>
      </c>
      <c r="Q46" s="12">
        <f t="shared" si="0"/>
        <v>6010</v>
      </c>
      <c r="R46" s="13">
        <f t="shared" si="0"/>
        <v>0</v>
      </c>
      <c r="S46" s="14">
        <f>R46-Q46</f>
        <v>-6010</v>
      </c>
      <c r="T46" s="6">
        <f>R46/Q46*100</f>
        <v>0</v>
      </c>
    </row>
    <row r="47" spans="1:20" ht="24.75" customHeight="1" x14ac:dyDescent="0.25">
      <c r="A47" s="43" t="s">
        <v>16</v>
      </c>
      <c r="B47" s="42">
        <f>SUM(B31:B46)</f>
        <v>1018353</v>
      </c>
      <c r="C47" s="42">
        <f>SUM(C31:C46)</f>
        <v>160529</v>
      </c>
      <c r="D47" s="14">
        <f>C47-B47</f>
        <v>-857824</v>
      </c>
      <c r="E47" s="42">
        <f>SUM(E31:E46)</f>
        <v>40232</v>
      </c>
      <c r="F47" s="42">
        <f>SUM(F31:F46)</f>
        <v>12026</v>
      </c>
      <c r="G47" s="14">
        <f>F47-E47</f>
        <v>-28206</v>
      </c>
      <c r="H47" s="42">
        <f>SUM(H31:H46)</f>
        <v>130592</v>
      </c>
      <c r="I47" s="42">
        <f>SUM(I31:I46)</f>
        <v>6841</v>
      </c>
      <c r="J47" s="14">
        <f>I47-H47</f>
        <v>-123751</v>
      </c>
      <c r="K47" s="42">
        <f>SUM(K31:K46)</f>
        <v>3117515</v>
      </c>
      <c r="L47" s="42">
        <f>SUM(L31:L46)</f>
        <v>1373019</v>
      </c>
      <c r="M47" s="14">
        <f>L47-K47</f>
        <v>-1744496</v>
      </c>
      <c r="N47" s="42">
        <f>SUM(N31:N46)</f>
        <v>1301009</v>
      </c>
      <c r="O47" s="42">
        <f>SUM(O31:O46)</f>
        <v>354060</v>
      </c>
      <c r="P47" s="7">
        <f>O47-N47</f>
        <v>-946949</v>
      </c>
      <c r="Q47" s="12">
        <f t="shared" si="0"/>
        <v>5607701</v>
      </c>
      <c r="R47" s="12">
        <f t="shared" si="0"/>
        <v>1906475</v>
      </c>
      <c r="S47" s="14">
        <f>R47-Q47</f>
        <v>-3701226</v>
      </c>
      <c r="T47" s="5">
        <f>R47/Q47*100</f>
        <v>33.997443872274928</v>
      </c>
    </row>
    <row r="48" spans="1:20" x14ac:dyDescent="0.25">
      <c r="A48" s="18"/>
      <c r="B48" s="19"/>
      <c r="C48" s="18"/>
      <c r="D48" s="20"/>
      <c r="E48" s="19"/>
      <c r="F48" s="18"/>
      <c r="G48" s="20"/>
      <c r="H48" s="19"/>
      <c r="I48" s="18"/>
      <c r="J48" s="20"/>
      <c r="K48" s="18"/>
      <c r="L48" s="18"/>
      <c r="M48" s="20"/>
      <c r="N48" s="19"/>
      <c r="O48" s="18"/>
      <c r="P48" s="20"/>
      <c r="Q48" s="19"/>
      <c r="R48" s="18"/>
      <c r="S48" s="20"/>
    </row>
    <row r="49" spans="3:16" x14ac:dyDescent="0.25">
      <c r="C49" s="37"/>
      <c r="D49" s="56"/>
      <c r="E49" s="56"/>
      <c r="F49" s="56"/>
      <c r="G49" s="56"/>
      <c r="H49" s="56"/>
      <c r="I49" s="56"/>
      <c r="J49" s="56"/>
      <c r="K49" s="56"/>
      <c r="L49" s="37"/>
    </row>
    <row r="50" spans="3:16" x14ac:dyDescent="0.25">
      <c r="C50" s="37"/>
      <c r="D50" s="56"/>
      <c r="E50" s="56"/>
      <c r="F50" s="56"/>
      <c r="G50" s="56"/>
      <c r="H50" s="56"/>
      <c r="I50" s="56"/>
      <c r="J50" s="56"/>
      <c r="K50" s="56"/>
      <c r="L50" s="37"/>
      <c r="P50" t="s">
        <v>27</v>
      </c>
    </row>
    <row r="51" spans="3:16" x14ac:dyDescent="0.25">
      <c r="C51" s="37"/>
      <c r="D51" s="56"/>
      <c r="E51" s="56"/>
      <c r="F51" s="56"/>
      <c r="G51" s="56"/>
      <c r="H51" s="56"/>
      <c r="I51" s="56"/>
      <c r="J51" s="56"/>
      <c r="K51" s="56"/>
      <c r="L51" s="37"/>
      <c r="P51" t="s">
        <v>29</v>
      </c>
    </row>
    <row r="52" spans="3:16" x14ac:dyDescent="0.25">
      <c r="D52" s="57"/>
      <c r="E52" s="57"/>
      <c r="F52" s="57"/>
      <c r="G52" s="57"/>
      <c r="H52" s="57"/>
      <c r="I52" s="57"/>
      <c r="J52" s="57"/>
      <c r="K52" s="57"/>
    </row>
  </sheetData>
  <mergeCells count="16">
    <mergeCell ref="Q29:T29"/>
    <mergeCell ref="A28:T28"/>
    <mergeCell ref="A29:A30"/>
    <mergeCell ref="B29:D29"/>
    <mergeCell ref="E29:G29"/>
    <mergeCell ref="H29:J29"/>
    <mergeCell ref="K29:M29"/>
    <mergeCell ref="N29:P29"/>
    <mergeCell ref="Q3:T3"/>
    <mergeCell ref="A2:T2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34" sqref="D34"/>
    </sheetView>
  </sheetViews>
  <sheetFormatPr defaultRowHeight="15" x14ac:dyDescent="0.25"/>
  <sheetData>
    <row r="1" spans="1:7" x14ac:dyDescent="0.25">
      <c r="A1" s="52" t="s">
        <v>50</v>
      </c>
      <c r="B1" s="53"/>
      <c r="C1" s="53"/>
      <c r="D1" s="53"/>
      <c r="E1" s="53"/>
      <c r="F1" s="53"/>
      <c r="G1" s="53"/>
    </row>
    <row r="2" spans="1:7" ht="15" customHeight="1" x14ac:dyDescent="0.25">
      <c r="A2" s="50" t="s">
        <v>0</v>
      </c>
      <c r="B2" s="50" t="s">
        <v>17</v>
      </c>
      <c r="C2" s="41" t="s">
        <v>18</v>
      </c>
      <c r="D2" s="44" t="s">
        <v>22</v>
      </c>
      <c r="E2" s="44"/>
      <c r="F2" s="44"/>
      <c r="G2" s="44"/>
    </row>
    <row r="3" spans="1:7" x14ac:dyDescent="0.25">
      <c r="A3" s="51"/>
      <c r="B3" s="51"/>
      <c r="C3" s="5" t="s">
        <v>47</v>
      </c>
      <c r="D3" s="5" t="s">
        <v>47</v>
      </c>
      <c r="E3" s="5" t="s">
        <v>23</v>
      </c>
      <c r="F3" s="40" t="s">
        <v>24</v>
      </c>
      <c r="G3" s="5" t="s">
        <v>37</v>
      </c>
    </row>
    <row r="4" spans="1:7" ht="30" x14ac:dyDescent="0.25">
      <c r="A4" s="3">
        <v>1600</v>
      </c>
      <c r="B4" s="11" t="s">
        <v>1</v>
      </c>
      <c r="C4" s="12">
        <v>50430</v>
      </c>
      <c r="D4" s="12">
        <v>50430</v>
      </c>
      <c r="E4" s="13">
        <v>42702</v>
      </c>
      <c r="F4" s="14">
        <f>E4-D4</f>
        <v>-7728</v>
      </c>
      <c r="G4" s="6">
        <f>E4/D4*100</f>
        <v>84.675788221296841</v>
      </c>
    </row>
    <row r="6" spans="1:7" x14ac:dyDescent="0.25">
      <c r="A6" s="52" t="s">
        <v>51</v>
      </c>
      <c r="B6" s="53"/>
      <c r="C6" s="53"/>
      <c r="D6" s="53"/>
      <c r="E6" s="53"/>
      <c r="F6" s="53"/>
      <c r="G6" s="53"/>
    </row>
    <row r="7" spans="1:7" ht="15" customHeight="1" x14ac:dyDescent="0.25">
      <c r="A7" s="50" t="s">
        <v>0</v>
      </c>
      <c r="B7" s="50" t="s">
        <v>17</v>
      </c>
      <c r="C7" s="41" t="s">
        <v>18</v>
      </c>
      <c r="D7" s="44" t="s">
        <v>22</v>
      </c>
      <c r="E7" s="44"/>
      <c r="F7" s="44"/>
      <c r="G7" s="44"/>
    </row>
    <row r="8" spans="1:7" ht="30" x14ac:dyDescent="0.25">
      <c r="A8" s="51"/>
      <c r="B8" s="51"/>
      <c r="C8" s="40" t="s">
        <v>48</v>
      </c>
      <c r="D8" s="40" t="s">
        <v>49</v>
      </c>
      <c r="E8" s="5" t="s">
        <v>23</v>
      </c>
      <c r="F8" s="40" t="s">
        <v>24</v>
      </c>
      <c r="G8" s="5" t="s">
        <v>37</v>
      </c>
    </row>
    <row r="9" spans="1:7" ht="30" x14ac:dyDescent="0.25">
      <c r="A9" s="3">
        <v>1600</v>
      </c>
      <c r="B9" s="11" t="s">
        <v>1</v>
      </c>
      <c r="C9" s="12">
        <v>146190</v>
      </c>
      <c r="D9" s="12">
        <v>146190</v>
      </c>
      <c r="E9" s="13">
        <v>15005</v>
      </c>
      <c r="F9" s="14">
        <f>E9-D9</f>
        <v>-131185</v>
      </c>
      <c r="G9" s="6">
        <f>E9/D9*100</f>
        <v>10.26403994801286</v>
      </c>
    </row>
  </sheetData>
  <mergeCells count="8">
    <mergeCell ref="A1:G1"/>
    <mergeCell ref="A2:A3"/>
    <mergeCell ref="B2:B3"/>
    <mergeCell ref="D7:G7"/>
    <mergeCell ref="A6:G6"/>
    <mergeCell ref="A7:A8"/>
    <mergeCell ref="B7:B8"/>
    <mergeCell ref="D2:G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6"/>
  <sheetViews>
    <sheetView workbookViewId="0">
      <selection activeCell="A2" sqref="A2:T26"/>
    </sheetView>
  </sheetViews>
  <sheetFormatPr defaultRowHeight="15" x14ac:dyDescent="0.25"/>
  <sheetData>
    <row r="2" spans="1:20" x14ac:dyDescent="0.25">
      <c r="A2" s="45" t="s">
        <v>73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15" customHeight="1" x14ac:dyDescent="0.25">
      <c r="A3" s="50" t="s">
        <v>0</v>
      </c>
      <c r="B3" s="47" t="s">
        <v>18</v>
      </c>
      <c r="C3" s="49"/>
      <c r="D3" s="48"/>
      <c r="E3" s="47" t="s">
        <v>19</v>
      </c>
      <c r="F3" s="49"/>
      <c r="G3" s="48"/>
      <c r="H3" s="47" t="s">
        <v>20</v>
      </c>
      <c r="I3" s="49"/>
      <c r="J3" s="48"/>
      <c r="K3" s="47" t="s">
        <v>32</v>
      </c>
      <c r="L3" s="49"/>
      <c r="M3" s="48"/>
      <c r="N3" s="47" t="s">
        <v>21</v>
      </c>
      <c r="O3" s="49"/>
      <c r="P3" s="48"/>
      <c r="Q3" s="44" t="s">
        <v>22</v>
      </c>
      <c r="R3" s="44"/>
      <c r="S3" s="44"/>
      <c r="T3" s="44"/>
    </row>
    <row r="4" spans="1:20" ht="30" x14ac:dyDescent="0.25">
      <c r="A4" s="51"/>
      <c r="B4" s="42" t="s">
        <v>48</v>
      </c>
      <c r="C4" s="5" t="s">
        <v>23</v>
      </c>
      <c r="D4" s="42" t="s">
        <v>24</v>
      </c>
      <c r="E4" s="42" t="s">
        <v>49</v>
      </c>
      <c r="F4" s="5" t="s">
        <v>23</v>
      </c>
      <c r="G4" s="42" t="s">
        <v>24</v>
      </c>
      <c r="H4" s="42" t="s">
        <v>49</v>
      </c>
      <c r="I4" s="5" t="s">
        <v>23</v>
      </c>
      <c r="J4" s="42" t="s">
        <v>24</v>
      </c>
      <c r="K4" s="42" t="s">
        <v>49</v>
      </c>
      <c r="L4" s="5" t="s">
        <v>23</v>
      </c>
      <c r="M4" s="42" t="s">
        <v>24</v>
      </c>
      <c r="N4" s="42" t="s">
        <v>49</v>
      </c>
      <c r="O4" s="5" t="s">
        <v>23</v>
      </c>
      <c r="P4" s="42" t="s">
        <v>24</v>
      </c>
      <c r="Q4" s="42" t="s">
        <v>49</v>
      </c>
      <c r="R4" s="5" t="s">
        <v>23</v>
      </c>
      <c r="S4" s="42" t="s">
        <v>24</v>
      </c>
      <c r="T4" s="5" t="s">
        <v>37</v>
      </c>
    </row>
    <row r="5" spans="1:20" x14ac:dyDescent="0.25">
      <c r="A5" s="3">
        <v>1600</v>
      </c>
      <c r="B5" s="12">
        <v>146190</v>
      </c>
      <c r="C5" s="13">
        <v>15005</v>
      </c>
      <c r="D5" s="14">
        <f>C5-B5</f>
        <v>-131185</v>
      </c>
      <c r="E5" s="11">
        <v>0</v>
      </c>
      <c r="F5" s="3">
        <v>0</v>
      </c>
      <c r="G5" s="14">
        <f>F5-E5</f>
        <v>0</v>
      </c>
      <c r="H5" s="11">
        <v>0</v>
      </c>
      <c r="I5" s="3">
        <v>0</v>
      </c>
      <c r="J5" s="14">
        <f>I5-H5</f>
        <v>0</v>
      </c>
      <c r="K5" s="14">
        <v>0</v>
      </c>
      <c r="L5" s="15">
        <v>0</v>
      </c>
      <c r="M5" s="14">
        <f>L5-K5</f>
        <v>0</v>
      </c>
      <c r="N5" s="12">
        <v>14713</v>
      </c>
      <c r="O5" s="13">
        <v>0</v>
      </c>
      <c r="P5" s="14">
        <f>O5-N5</f>
        <v>-14713</v>
      </c>
      <c r="Q5" s="12">
        <f>B5+E5+H5+K5+N5</f>
        <v>160903</v>
      </c>
      <c r="R5" s="13">
        <f>C5+F5+I5+L5+O5</f>
        <v>15005</v>
      </c>
      <c r="S5" s="14">
        <f>R5-Q5</f>
        <v>-145898</v>
      </c>
      <c r="T5" s="6">
        <f>R5/Q5*100</f>
        <v>9.3254942418724323</v>
      </c>
    </row>
    <row r="6" spans="1:20" x14ac:dyDescent="0.25">
      <c r="A6" s="1">
        <v>1700</v>
      </c>
      <c r="B6" s="42">
        <v>4107</v>
      </c>
      <c r="C6" s="6">
        <v>2434</v>
      </c>
      <c r="D6" s="14">
        <f>C6-B6</f>
        <v>-1673</v>
      </c>
      <c r="E6" s="5">
        <v>14120</v>
      </c>
      <c r="F6" s="1">
        <v>244</v>
      </c>
      <c r="G6" s="14">
        <f>F6-E6</f>
        <v>-13876</v>
      </c>
      <c r="H6" s="5">
        <v>14000</v>
      </c>
      <c r="I6" s="6">
        <v>0</v>
      </c>
      <c r="J6" s="14">
        <f>I6-H6</f>
        <v>-14000</v>
      </c>
      <c r="K6" s="7">
        <v>0</v>
      </c>
      <c r="L6" s="8">
        <v>0</v>
      </c>
      <c r="M6" s="14">
        <f>L6-K6</f>
        <v>0</v>
      </c>
      <c r="N6" s="5">
        <v>0</v>
      </c>
      <c r="O6" s="6">
        <v>0</v>
      </c>
      <c r="P6" s="14">
        <f>O6-N6</f>
        <v>0</v>
      </c>
      <c r="Q6" s="12">
        <f t="shared" ref="Q6:Q21" si="0">B6+E6+H6+K6+N6</f>
        <v>32227</v>
      </c>
      <c r="R6" s="13">
        <f t="shared" ref="R6:R21" si="1">C6+F6+I6+L6+O6</f>
        <v>2678</v>
      </c>
      <c r="S6" s="14">
        <f>R6-Q6</f>
        <v>-29549</v>
      </c>
      <c r="T6" s="6">
        <f>R6/Q6*100</f>
        <v>8.3098023396530856</v>
      </c>
    </row>
    <row r="7" spans="1:20" x14ac:dyDescent="0.25">
      <c r="A7" s="1">
        <v>2900</v>
      </c>
      <c r="B7" s="42">
        <v>0</v>
      </c>
      <c r="C7" s="6">
        <v>0</v>
      </c>
      <c r="D7" s="14">
        <f>C7-B7</f>
        <v>0</v>
      </c>
      <c r="E7" s="5">
        <v>0</v>
      </c>
      <c r="F7" s="6">
        <v>0</v>
      </c>
      <c r="G7" s="14">
        <f>F7-E7</f>
        <v>0</v>
      </c>
      <c r="H7" s="5">
        <v>0</v>
      </c>
      <c r="I7" s="6">
        <v>0</v>
      </c>
      <c r="J7" s="14">
        <f>I7-H7</f>
        <v>0</v>
      </c>
      <c r="K7" s="7">
        <v>120318</v>
      </c>
      <c r="L7" s="8">
        <v>32522</v>
      </c>
      <c r="M7" s="14">
        <f>L7-K7</f>
        <v>-87796</v>
      </c>
      <c r="N7" s="5">
        <v>0</v>
      </c>
      <c r="O7" s="6">
        <v>0</v>
      </c>
      <c r="P7" s="14">
        <f>O7-N7</f>
        <v>0</v>
      </c>
      <c r="Q7" s="12">
        <f t="shared" si="0"/>
        <v>120318</v>
      </c>
      <c r="R7" s="13">
        <f t="shared" si="1"/>
        <v>32522</v>
      </c>
      <c r="S7" s="14">
        <f>R7-Q7</f>
        <v>-87796</v>
      </c>
      <c r="T7" s="6">
        <f>R7/Q7*100</f>
        <v>27.030037068435313</v>
      </c>
    </row>
    <row r="8" spans="1:20" x14ac:dyDescent="0.25">
      <c r="A8" s="1">
        <v>3000</v>
      </c>
      <c r="B8" s="42">
        <v>0</v>
      </c>
      <c r="C8" s="6">
        <v>0</v>
      </c>
      <c r="D8" s="14">
        <f>C8-B8</f>
        <v>0</v>
      </c>
      <c r="E8" s="5">
        <v>0</v>
      </c>
      <c r="F8" s="6">
        <v>0</v>
      </c>
      <c r="G8" s="14">
        <f>F8-E8</f>
        <v>0</v>
      </c>
      <c r="H8" s="5">
        <v>0</v>
      </c>
      <c r="I8" s="6">
        <v>0</v>
      </c>
      <c r="J8" s="14">
        <f>I8-H8</f>
        <v>0</v>
      </c>
      <c r="K8" s="7">
        <v>316420</v>
      </c>
      <c r="L8" s="8">
        <v>170892</v>
      </c>
      <c r="M8" s="14">
        <f>L8-K8</f>
        <v>-145528</v>
      </c>
      <c r="N8" s="5">
        <v>191000</v>
      </c>
      <c r="O8" s="6">
        <v>74507</v>
      </c>
      <c r="P8" s="14">
        <f>O8-N8</f>
        <v>-116493</v>
      </c>
      <c r="Q8" s="12">
        <f t="shared" si="0"/>
        <v>507420</v>
      </c>
      <c r="R8" s="13">
        <f t="shared" si="1"/>
        <v>245399</v>
      </c>
      <c r="S8" s="14">
        <f>R8-Q8</f>
        <v>-262021</v>
      </c>
      <c r="T8" s="6">
        <f>R8/Q8*100</f>
        <v>48.36210634188641</v>
      </c>
    </row>
    <row r="9" spans="1:20" x14ac:dyDescent="0.25">
      <c r="A9" s="3">
        <v>3100</v>
      </c>
      <c r="B9" s="42">
        <v>0</v>
      </c>
      <c r="C9" s="6">
        <v>0</v>
      </c>
      <c r="D9" s="14">
        <f>C9-B9</f>
        <v>0</v>
      </c>
      <c r="E9" s="5">
        <v>0</v>
      </c>
      <c r="F9" s="6">
        <v>0</v>
      </c>
      <c r="G9" s="14">
        <f>F9-E9</f>
        <v>0</v>
      </c>
      <c r="H9" s="5">
        <v>0</v>
      </c>
      <c r="I9" s="6">
        <v>0</v>
      </c>
      <c r="J9" s="14">
        <f>I9-H9</f>
        <v>0</v>
      </c>
      <c r="K9" s="7">
        <v>2645397</v>
      </c>
      <c r="L9" s="8">
        <v>1158842</v>
      </c>
      <c r="M9" s="14">
        <f>L9-K9</f>
        <v>-1486555</v>
      </c>
      <c r="N9" s="5">
        <v>317398</v>
      </c>
      <c r="O9" s="6">
        <v>86302</v>
      </c>
      <c r="P9" s="14">
        <f>O9-N9</f>
        <v>-231096</v>
      </c>
      <c r="Q9" s="12">
        <f t="shared" si="0"/>
        <v>2962795</v>
      </c>
      <c r="R9" s="13">
        <f t="shared" si="1"/>
        <v>1245144</v>
      </c>
      <c r="S9" s="14">
        <f>R9-Q9</f>
        <v>-1717651</v>
      </c>
      <c r="T9" s="6">
        <f>R9/Q9*100</f>
        <v>42.025992348441257</v>
      </c>
    </row>
    <row r="10" spans="1:20" x14ac:dyDescent="0.25">
      <c r="A10" s="3">
        <v>3200</v>
      </c>
      <c r="B10" s="11">
        <v>20</v>
      </c>
      <c r="C10" s="13">
        <v>0</v>
      </c>
      <c r="D10" s="14">
        <f>C10-B10</f>
        <v>-20</v>
      </c>
      <c r="E10" s="12">
        <v>0</v>
      </c>
      <c r="F10" s="13">
        <v>0</v>
      </c>
      <c r="G10" s="14">
        <f>F10-E10</f>
        <v>0</v>
      </c>
      <c r="H10" s="12">
        <v>0</v>
      </c>
      <c r="I10" s="13">
        <v>0</v>
      </c>
      <c r="J10" s="14">
        <f>I10-H10</f>
        <v>0</v>
      </c>
      <c r="K10" s="14">
        <v>35380</v>
      </c>
      <c r="L10" s="15">
        <v>10763</v>
      </c>
      <c r="M10" s="14">
        <f>L10-K10</f>
        <v>-24617</v>
      </c>
      <c r="N10" s="12">
        <v>96867</v>
      </c>
      <c r="O10" s="13">
        <v>78978</v>
      </c>
      <c r="P10" s="14">
        <f>O10-N10</f>
        <v>-17889</v>
      </c>
      <c r="Q10" s="12">
        <f t="shared" si="0"/>
        <v>132267</v>
      </c>
      <c r="R10" s="13">
        <f t="shared" si="1"/>
        <v>89741</v>
      </c>
      <c r="S10" s="14">
        <f>R10-Q10</f>
        <v>-42526</v>
      </c>
      <c r="T10" s="6">
        <f>R10/Q10*100</f>
        <v>67.848367317622689</v>
      </c>
    </row>
    <row r="11" spans="1:20" x14ac:dyDescent="0.25">
      <c r="A11" s="3">
        <v>3300</v>
      </c>
      <c r="B11" s="11">
        <v>159700</v>
      </c>
      <c r="C11" s="13">
        <v>7634</v>
      </c>
      <c r="D11" s="14">
        <f>C11-B11</f>
        <v>-152066</v>
      </c>
      <c r="E11" s="12">
        <v>0</v>
      </c>
      <c r="F11" s="13">
        <v>0</v>
      </c>
      <c r="G11" s="14">
        <f>F11-E11</f>
        <v>0</v>
      </c>
      <c r="H11" s="5">
        <v>0</v>
      </c>
      <c r="I11" s="13">
        <v>0</v>
      </c>
      <c r="J11" s="14">
        <f>I11-H11</f>
        <v>0</v>
      </c>
      <c r="K11" s="14">
        <v>0</v>
      </c>
      <c r="L11" s="15">
        <v>0</v>
      </c>
      <c r="M11" s="14">
        <f>L11-K11</f>
        <v>0</v>
      </c>
      <c r="N11" s="11">
        <v>363143</v>
      </c>
      <c r="O11" s="13">
        <v>65091</v>
      </c>
      <c r="P11" s="14">
        <f>O11-N11</f>
        <v>-298052</v>
      </c>
      <c r="Q11" s="12">
        <f t="shared" si="0"/>
        <v>522843</v>
      </c>
      <c r="R11" s="13">
        <f t="shared" si="1"/>
        <v>72725</v>
      </c>
      <c r="S11" s="14">
        <f>R11-Q11</f>
        <v>-450118</v>
      </c>
      <c r="T11" s="6">
        <f>R11/Q11*100</f>
        <v>13.909529246829354</v>
      </c>
    </row>
    <row r="12" spans="1:20" x14ac:dyDescent="0.25">
      <c r="A12" s="1">
        <v>3600</v>
      </c>
      <c r="B12" s="42">
        <v>174056</v>
      </c>
      <c r="C12" s="6">
        <v>63149</v>
      </c>
      <c r="D12" s="14">
        <f>C12-B12</f>
        <v>-110907</v>
      </c>
      <c r="E12" s="5">
        <v>0</v>
      </c>
      <c r="F12" s="6">
        <v>0</v>
      </c>
      <c r="G12" s="14">
        <f>F12-E12</f>
        <v>0</v>
      </c>
      <c r="H12" s="5">
        <v>25830</v>
      </c>
      <c r="I12" s="6">
        <v>0</v>
      </c>
      <c r="J12" s="14">
        <f>I12-H12</f>
        <v>-25830</v>
      </c>
      <c r="K12" s="14">
        <v>0</v>
      </c>
      <c r="L12" s="15">
        <v>0</v>
      </c>
      <c r="M12" s="14">
        <f>L12-K12</f>
        <v>0</v>
      </c>
      <c r="N12" s="5">
        <v>107957</v>
      </c>
      <c r="O12" s="6">
        <v>11009</v>
      </c>
      <c r="P12" s="14">
        <f>O12-N12</f>
        <v>-96948</v>
      </c>
      <c r="Q12" s="12">
        <f t="shared" si="0"/>
        <v>307843</v>
      </c>
      <c r="R12" s="13">
        <f t="shared" si="1"/>
        <v>74158</v>
      </c>
      <c r="S12" s="14">
        <f>R12-Q12</f>
        <v>-233685</v>
      </c>
      <c r="T12" s="6">
        <f>R12/Q12*100</f>
        <v>24.089552141838535</v>
      </c>
    </row>
    <row r="13" spans="1:20" x14ac:dyDescent="0.25">
      <c r="A13" s="1">
        <v>3700</v>
      </c>
      <c r="B13" s="42">
        <v>0</v>
      </c>
      <c r="C13" s="6">
        <v>0</v>
      </c>
      <c r="D13" s="14">
        <f>C13-B13</f>
        <v>0</v>
      </c>
      <c r="E13" s="42">
        <v>0</v>
      </c>
      <c r="F13" s="6">
        <v>0</v>
      </c>
      <c r="G13" s="14">
        <f>F13-E13</f>
        <v>0</v>
      </c>
      <c r="H13" s="5">
        <v>0</v>
      </c>
      <c r="I13" s="6">
        <v>0</v>
      </c>
      <c r="J13" s="14">
        <f>I13-H13</f>
        <v>0</v>
      </c>
      <c r="K13" s="14">
        <v>0</v>
      </c>
      <c r="L13" s="15">
        <v>0</v>
      </c>
      <c r="M13" s="14">
        <f>L13-K13</f>
        <v>0</v>
      </c>
      <c r="N13" s="5">
        <v>0</v>
      </c>
      <c r="O13" s="6">
        <v>0</v>
      </c>
      <c r="P13" s="14">
        <f>O13-N13</f>
        <v>0</v>
      </c>
      <c r="Q13" s="12">
        <f t="shared" si="0"/>
        <v>0</v>
      </c>
      <c r="R13" s="13">
        <f t="shared" si="1"/>
        <v>0</v>
      </c>
      <c r="S13" s="14">
        <f>R13-Q13</f>
        <v>0</v>
      </c>
      <c r="T13" s="6" t="e">
        <f>R13/Q13*100</f>
        <v>#DIV/0!</v>
      </c>
    </row>
    <row r="14" spans="1:20" x14ac:dyDescent="0.25">
      <c r="A14" s="1">
        <v>4100</v>
      </c>
      <c r="B14" s="6">
        <v>10884</v>
      </c>
      <c r="C14" s="6">
        <v>0</v>
      </c>
      <c r="D14" s="14">
        <f>C14-B14</f>
        <v>-10884</v>
      </c>
      <c r="E14" s="5">
        <v>1</v>
      </c>
      <c r="F14" s="6">
        <v>0</v>
      </c>
      <c r="G14" s="14">
        <f>F14-E14</f>
        <v>-1</v>
      </c>
      <c r="H14" s="5">
        <v>309</v>
      </c>
      <c r="I14" s="6">
        <v>0</v>
      </c>
      <c r="J14" s="14">
        <f>I14-H14</f>
        <v>-309</v>
      </c>
      <c r="K14" s="14">
        <v>0</v>
      </c>
      <c r="L14" s="15">
        <v>0</v>
      </c>
      <c r="M14" s="14">
        <f>L14-K14</f>
        <v>0</v>
      </c>
      <c r="N14" s="5">
        <v>2000</v>
      </c>
      <c r="O14" s="6">
        <v>1637</v>
      </c>
      <c r="P14" s="14">
        <f>O14-N14</f>
        <v>-363</v>
      </c>
      <c r="Q14" s="12">
        <f t="shared" si="0"/>
        <v>13194</v>
      </c>
      <c r="R14" s="13">
        <f t="shared" si="1"/>
        <v>1637</v>
      </c>
      <c r="S14" s="14">
        <f>R14-Q14</f>
        <v>-11557</v>
      </c>
      <c r="T14" s="6">
        <f>R14/Q14*100</f>
        <v>12.407154767318477</v>
      </c>
    </row>
    <row r="15" spans="1:20" x14ac:dyDescent="0.25">
      <c r="A15" s="1">
        <v>4200</v>
      </c>
      <c r="B15" s="42">
        <v>35702</v>
      </c>
      <c r="C15" s="6">
        <v>0</v>
      </c>
      <c r="D15" s="14">
        <f>C15-B15</f>
        <v>-35702</v>
      </c>
      <c r="E15" s="5">
        <v>2000</v>
      </c>
      <c r="F15" s="6">
        <v>0</v>
      </c>
      <c r="G15" s="14">
        <f>F15-E15</f>
        <v>-2000</v>
      </c>
      <c r="H15" s="5">
        <v>5000</v>
      </c>
      <c r="I15" s="6">
        <v>0</v>
      </c>
      <c r="J15" s="14">
        <f>I15-H15</f>
        <v>-5000</v>
      </c>
      <c r="K15" s="14">
        <v>0</v>
      </c>
      <c r="L15" s="15">
        <v>0</v>
      </c>
      <c r="M15" s="14">
        <f>L15-K15</f>
        <v>0</v>
      </c>
      <c r="N15" s="5">
        <v>11000</v>
      </c>
      <c r="O15" s="6">
        <v>0</v>
      </c>
      <c r="P15" s="14">
        <f>O15-N15</f>
        <v>-11000</v>
      </c>
      <c r="Q15" s="12">
        <f t="shared" si="0"/>
        <v>53702</v>
      </c>
      <c r="R15" s="13">
        <f t="shared" si="1"/>
        <v>0</v>
      </c>
      <c r="S15" s="14">
        <f>R15-Q15</f>
        <v>-53702</v>
      </c>
      <c r="T15" s="6">
        <f>R15/Q15*100</f>
        <v>0</v>
      </c>
    </row>
    <row r="16" spans="1:20" x14ac:dyDescent="0.25">
      <c r="A16" s="55">
        <v>5100</v>
      </c>
      <c r="B16" s="42">
        <v>62500</v>
      </c>
      <c r="C16" s="6">
        <v>14261</v>
      </c>
      <c r="D16" s="14">
        <f>C16-B16</f>
        <v>-48239</v>
      </c>
      <c r="E16" s="5">
        <v>12000</v>
      </c>
      <c r="F16" s="6">
        <v>3928</v>
      </c>
      <c r="G16" s="14">
        <f>F16-E16</f>
        <v>-8072</v>
      </c>
      <c r="H16" s="5">
        <v>23000</v>
      </c>
      <c r="I16" s="6">
        <v>0</v>
      </c>
      <c r="J16" s="14">
        <f>I16-H16</f>
        <v>-23000</v>
      </c>
      <c r="K16" s="14">
        <v>0</v>
      </c>
      <c r="L16" s="15">
        <v>0</v>
      </c>
      <c r="M16" s="14">
        <f>L16-K16</f>
        <v>0</v>
      </c>
      <c r="N16" s="5">
        <v>0</v>
      </c>
      <c r="O16" s="6">
        <v>0</v>
      </c>
      <c r="P16" s="14">
        <f>O16-N16</f>
        <v>0</v>
      </c>
      <c r="Q16" s="12">
        <f t="shared" si="0"/>
        <v>97500</v>
      </c>
      <c r="R16" s="13">
        <f t="shared" si="1"/>
        <v>18189</v>
      </c>
      <c r="S16" s="14">
        <f>R16-Q16</f>
        <v>-79311</v>
      </c>
      <c r="T16" s="6">
        <f>R16/Q16*100</f>
        <v>18.655384615384616</v>
      </c>
    </row>
    <row r="17" spans="1:20" x14ac:dyDescent="0.25">
      <c r="A17" s="3">
        <v>5300</v>
      </c>
      <c r="B17" s="11">
        <v>285610</v>
      </c>
      <c r="C17" s="13">
        <v>42405</v>
      </c>
      <c r="D17" s="14">
        <f>C17-B17</f>
        <v>-243205</v>
      </c>
      <c r="E17" s="12">
        <v>0</v>
      </c>
      <c r="F17" s="13">
        <v>0</v>
      </c>
      <c r="G17" s="14">
        <f>F17-E17</f>
        <v>0</v>
      </c>
      <c r="H17" s="12">
        <v>450</v>
      </c>
      <c r="I17" s="13">
        <v>1205</v>
      </c>
      <c r="J17" s="14">
        <f>I17-H17</f>
        <v>755</v>
      </c>
      <c r="K17" s="14">
        <v>0</v>
      </c>
      <c r="L17" s="15">
        <v>0</v>
      </c>
      <c r="M17" s="14">
        <f>L17-K17</f>
        <v>0</v>
      </c>
      <c r="N17" s="12">
        <v>24852</v>
      </c>
      <c r="O17" s="13">
        <v>1769</v>
      </c>
      <c r="P17" s="14">
        <f>O17-N17</f>
        <v>-23083</v>
      </c>
      <c r="Q17" s="12">
        <f t="shared" si="0"/>
        <v>310912</v>
      </c>
      <c r="R17" s="13">
        <f t="shared" si="1"/>
        <v>45379</v>
      </c>
      <c r="S17" s="14">
        <f>R17-Q17</f>
        <v>-265533</v>
      </c>
      <c r="T17" s="6">
        <f>R17/Q17*100</f>
        <v>14.595448229724168</v>
      </c>
    </row>
    <row r="18" spans="1:20" x14ac:dyDescent="0.25">
      <c r="A18" s="3">
        <v>6400</v>
      </c>
      <c r="B18" s="11">
        <v>69550</v>
      </c>
      <c r="C18" s="13">
        <v>15641</v>
      </c>
      <c r="D18" s="14">
        <f>C18-B18</f>
        <v>-53909</v>
      </c>
      <c r="E18" s="12">
        <v>12111</v>
      </c>
      <c r="F18" s="13">
        <v>7854</v>
      </c>
      <c r="G18" s="14">
        <f>F18-E18</f>
        <v>-4257</v>
      </c>
      <c r="H18" s="12">
        <v>62003</v>
      </c>
      <c r="I18" s="13">
        <v>5636</v>
      </c>
      <c r="J18" s="14">
        <f>I18-H18</f>
        <v>-56367</v>
      </c>
      <c r="K18" s="14">
        <v>0</v>
      </c>
      <c r="L18" s="15">
        <v>0</v>
      </c>
      <c r="M18" s="14">
        <f>L18-K18</f>
        <v>0</v>
      </c>
      <c r="N18" s="12">
        <v>172069</v>
      </c>
      <c r="O18" s="29">
        <v>34767</v>
      </c>
      <c r="P18" s="14">
        <f>O18-N18</f>
        <v>-137302</v>
      </c>
      <c r="Q18" s="12">
        <f t="shared" si="0"/>
        <v>315733</v>
      </c>
      <c r="R18" s="13">
        <f t="shared" si="1"/>
        <v>63898</v>
      </c>
      <c r="S18" s="14">
        <f>R18-Q18</f>
        <v>-251835</v>
      </c>
      <c r="T18" s="6">
        <f>R18/Q18*100</f>
        <v>20.23798589314389</v>
      </c>
    </row>
    <row r="19" spans="1:20" x14ac:dyDescent="0.25">
      <c r="A19" s="1"/>
      <c r="B19" s="42">
        <v>64034</v>
      </c>
      <c r="C19" s="6">
        <v>0</v>
      </c>
      <c r="D19" s="14">
        <f>C19-B19</f>
        <v>-64034</v>
      </c>
      <c r="E19" s="5">
        <v>0</v>
      </c>
      <c r="F19" s="6">
        <v>0</v>
      </c>
      <c r="G19" s="14">
        <f>F19-E19</f>
        <v>0</v>
      </c>
      <c r="H19" s="5">
        <v>0</v>
      </c>
      <c r="I19" s="6">
        <v>0</v>
      </c>
      <c r="J19" s="14">
        <f>I19-H19</f>
        <v>0</v>
      </c>
      <c r="K19" s="14">
        <v>0</v>
      </c>
      <c r="L19" s="15">
        <v>0</v>
      </c>
      <c r="M19" s="14">
        <f>L19-K19</f>
        <v>0</v>
      </c>
      <c r="N19" s="5">
        <v>0</v>
      </c>
      <c r="O19" s="10">
        <v>0</v>
      </c>
      <c r="P19" s="14">
        <f>O19-N19</f>
        <v>0</v>
      </c>
      <c r="Q19" s="12">
        <f t="shared" si="0"/>
        <v>64034</v>
      </c>
      <c r="R19" s="13">
        <f t="shared" si="1"/>
        <v>0</v>
      </c>
      <c r="S19" s="14">
        <f>R19-Q19</f>
        <v>-64034</v>
      </c>
      <c r="T19" s="6">
        <f>R19/Q19*100</f>
        <v>0</v>
      </c>
    </row>
    <row r="20" spans="1:20" x14ac:dyDescent="0.25">
      <c r="A20" s="1">
        <v>6500</v>
      </c>
      <c r="B20" s="42">
        <v>6000</v>
      </c>
      <c r="C20" s="6">
        <v>0</v>
      </c>
      <c r="D20" s="14">
        <f>C20-B20</f>
        <v>-6000</v>
      </c>
      <c r="E20" s="5">
        <v>0</v>
      </c>
      <c r="F20" s="6">
        <v>0</v>
      </c>
      <c r="G20" s="14">
        <f>F20-E20</f>
        <v>0</v>
      </c>
      <c r="H20" s="5">
        <v>0</v>
      </c>
      <c r="I20" s="6">
        <v>0</v>
      </c>
      <c r="J20" s="14">
        <f>I20-H20</f>
        <v>0</v>
      </c>
      <c r="K20" s="14">
        <v>0</v>
      </c>
      <c r="L20" s="15">
        <v>0</v>
      </c>
      <c r="M20" s="14">
        <f>L20-K20</f>
        <v>0</v>
      </c>
      <c r="N20" s="5">
        <v>10</v>
      </c>
      <c r="O20" s="6">
        <v>0</v>
      </c>
      <c r="P20" s="14">
        <f>O20-N20</f>
        <v>-10</v>
      </c>
      <c r="Q20" s="12">
        <f t="shared" si="0"/>
        <v>6010</v>
      </c>
      <c r="R20" s="13">
        <f t="shared" si="1"/>
        <v>0</v>
      </c>
      <c r="S20" s="14">
        <f>R20-Q20</f>
        <v>-6010</v>
      </c>
      <c r="T20" s="6">
        <f>R20/Q20*100</f>
        <v>0</v>
      </c>
    </row>
    <row r="21" spans="1:20" x14ac:dyDescent="0.25">
      <c r="A21" s="43" t="s">
        <v>16</v>
      </c>
      <c r="B21" s="42">
        <f>SUM(B5:B20)</f>
        <v>1018353</v>
      </c>
      <c r="C21" s="1">
        <f>SUM(C5:C20)</f>
        <v>160529</v>
      </c>
      <c r="D21" s="14">
        <f>C21-B21</f>
        <v>-857824</v>
      </c>
      <c r="E21" s="42">
        <f>SUM(E5:E20)</f>
        <v>40232</v>
      </c>
      <c r="F21" s="1">
        <f>SUM(F5:F20)</f>
        <v>12026</v>
      </c>
      <c r="G21" s="14">
        <f>F21-E21</f>
        <v>-28206</v>
      </c>
      <c r="H21" s="42">
        <f>SUM(H5:H20)</f>
        <v>130592</v>
      </c>
      <c r="I21" s="1">
        <f>SUM(I5:I20)</f>
        <v>6841</v>
      </c>
      <c r="J21" s="14">
        <f>I21-H21</f>
        <v>-123751</v>
      </c>
      <c r="K21" s="1">
        <f>SUM(K5:K20)</f>
        <v>3117515</v>
      </c>
      <c r="L21" s="1">
        <f>SUM(L5:L20)</f>
        <v>1373019</v>
      </c>
      <c r="M21" s="14">
        <f>L21-K21</f>
        <v>-1744496</v>
      </c>
      <c r="N21" s="42">
        <f>SUM(N5:N20)</f>
        <v>1301009</v>
      </c>
      <c r="O21" s="1">
        <f>SUM(O5:O20)</f>
        <v>354060</v>
      </c>
      <c r="P21" s="7">
        <f>O21-N21</f>
        <v>-946949</v>
      </c>
      <c r="Q21" s="12">
        <f t="shared" si="0"/>
        <v>5607701</v>
      </c>
      <c r="R21" s="13">
        <f t="shared" si="1"/>
        <v>1906475</v>
      </c>
      <c r="S21" s="14">
        <f>R21-Q21</f>
        <v>-3701226</v>
      </c>
      <c r="T21" s="6">
        <f>R21/Q21*100</f>
        <v>33.997443872274928</v>
      </c>
    </row>
    <row r="22" spans="1:20" x14ac:dyDescent="0.25">
      <c r="A22" s="18"/>
      <c r="B22" s="19"/>
      <c r="C22" s="18"/>
      <c r="D22" s="20"/>
      <c r="E22" s="19"/>
      <c r="F22" s="18"/>
      <c r="G22" s="20"/>
      <c r="H22" s="19"/>
      <c r="I22" s="18"/>
      <c r="J22" s="20"/>
      <c r="K22" s="18"/>
      <c r="L22" s="18"/>
      <c r="M22" s="20"/>
      <c r="N22" s="19"/>
      <c r="O22" s="18"/>
      <c r="P22" s="20"/>
      <c r="Q22" s="19"/>
      <c r="R22" s="18"/>
      <c r="S22" s="20"/>
    </row>
    <row r="23" spans="1:20" x14ac:dyDescent="0.25">
      <c r="C23" s="37"/>
      <c r="D23" s="56"/>
      <c r="E23" s="56"/>
      <c r="F23" s="56"/>
      <c r="G23" s="56"/>
      <c r="H23" s="56"/>
      <c r="I23" s="56"/>
      <c r="J23" s="56"/>
      <c r="K23" s="56"/>
      <c r="L23" s="37"/>
    </row>
    <row r="24" spans="1:20" x14ac:dyDescent="0.25">
      <c r="C24" s="37"/>
      <c r="D24" s="56"/>
      <c r="E24" s="56"/>
      <c r="F24" s="56"/>
      <c r="G24" s="56"/>
      <c r="H24" s="56"/>
      <c r="I24" s="56"/>
      <c r="J24" s="56"/>
      <c r="K24" s="56"/>
      <c r="L24" s="37"/>
      <c r="P24" t="s">
        <v>27</v>
      </c>
    </row>
    <row r="25" spans="1:20" x14ac:dyDescent="0.25">
      <c r="C25" s="37"/>
      <c r="D25" s="56"/>
      <c r="E25" s="56"/>
      <c r="F25" s="56"/>
      <c r="G25" s="56"/>
      <c r="H25" s="56"/>
      <c r="I25" s="56"/>
      <c r="J25" s="56"/>
      <c r="K25" s="56"/>
      <c r="L25" s="37"/>
      <c r="P25" t="s">
        <v>29</v>
      </c>
    </row>
    <row r="26" spans="1:20" x14ac:dyDescent="0.25">
      <c r="D26" s="57"/>
      <c r="E26" s="57"/>
      <c r="F26" s="57"/>
      <c r="G26" s="57"/>
      <c r="H26" s="57"/>
      <c r="I26" s="57"/>
      <c r="J26" s="57"/>
      <c r="K26" s="57"/>
    </row>
  </sheetData>
  <mergeCells count="8">
    <mergeCell ref="N3:P3"/>
    <mergeCell ref="Q3:T3"/>
    <mergeCell ref="A2:T2"/>
    <mergeCell ref="A3:A4"/>
    <mergeCell ref="B3:D3"/>
    <mergeCell ref="E3:G3"/>
    <mergeCell ref="H3:J3"/>
    <mergeCell ref="K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zoomScale="85" zoomScaleNormal="85" workbookViewId="0">
      <selection activeCell="D4" sqref="D4"/>
    </sheetView>
  </sheetViews>
  <sheetFormatPr defaultRowHeight="15" x14ac:dyDescent="0.25"/>
  <cols>
    <col min="1" max="1" width="9.42578125" style="17" customWidth="1"/>
    <col min="2" max="2" width="23.140625" style="17" customWidth="1"/>
    <col min="3" max="26" width="8" style="17" customWidth="1"/>
    <col min="27" max="27" width="12.28515625" bestFit="1" customWidth="1"/>
  </cols>
  <sheetData>
    <row r="1" spans="1:35" ht="17.25" customHeight="1" x14ac:dyDescent="0.25">
      <c r="A1" s="54" t="s">
        <v>45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35" ht="33" customHeight="1" x14ac:dyDescent="0.25">
      <c r="A2" s="51" t="s">
        <v>0</v>
      </c>
      <c r="B2" s="51" t="s">
        <v>17</v>
      </c>
      <c r="C2" s="51" t="s">
        <v>18</v>
      </c>
      <c r="D2" s="51"/>
      <c r="E2" s="51"/>
      <c r="F2" s="51" t="s">
        <v>19</v>
      </c>
      <c r="G2" s="51"/>
      <c r="H2" s="51"/>
      <c r="I2" s="51" t="s">
        <v>20</v>
      </c>
      <c r="J2" s="51"/>
      <c r="K2" s="51"/>
      <c r="L2" s="51" t="s">
        <v>31</v>
      </c>
      <c r="M2" s="51"/>
      <c r="N2" s="51"/>
      <c r="O2" s="51" t="s">
        <v>32</v>
      </c>
      <c r="P2" s="51"/>
      <c r="Q2" s="51"/>
      <c r="R2" s="51" t="s">
        <v>33</v>
      </c>
      <c r="S2" s="51"/>
      <c r="T2" s="51"/>
      <c r="U2" s="51" t="s">
        <v>21</v>
      </c>
      <c r="V2" s="51"/>
      <c r="W2" s="51"/>
      <c r="X2" s="44" t="s">
        <v>22</v>
      </c>
      <c r="Y2" s="44"/>
      <c r="Z2" s="44"/>
      <c r="AA2" s="44"/>
    </row>
    <row r="3" spans="1:35" ht="33" customHeight="1" x14ac:dyDescent="0.25">
      <c r="A3" s="44"/>
      <c r="B3" s="44"/>
      <c r="C3" s="5" t="s">
        <v>47</v>
      </c>
      <c r="D3" s="5" t="s">
        <v>23</v>
      </c>
      <c r="E3" s="2" t="s">
        <v>24</v>
      </c>
      <c r="F3" s="5" t="s">
        <v>38</v>
      </c>
      <c r="G3" s="5" t="s">
        <v>23</v>
      </c>
      <c r="H3" s="2" t="s">
        <v>24</v>
      </c>
      <c r="I3" s="5" t="s">
        <v>38</v>
      </c>
      <c r="J3" s="5" t="s">
        <v>23</v>
      </c>
      <c r="K3" s="2" t="s">
        <v>24</v>
      </c>
      <c r="L3" s="5" t="s">
        <v>38</v>
      </c>
      <c r="M3" s="5" t="s">
        <v>23</v>
      </c>
      <c r="N3" s="2" t="s">
        <v>24</v>
      </c>
      <c r="O3" s="5" t="s">
        <v>38</v>
      </c>
      <c r="P3" s="5" t="s">
        <v>23</v>
      </c>
      <c r="Q3" s="2" t="s">
        <v>24</v>
      </c>
      <c r="R3" s="5" t="s">
        <v>38</v>
      </c>
      <c r="S3" s="2" t="s">
        <v>23</v>
      </c>
      <c r="T3" s="2" t="s">
        <v>30</v>
      </c>
      <c r="U3" s="5" t="s">
        <v>38</v>
      </c>
      <c r="V3" s="5" t="s">
        <v>23</v>
      </c>
      <c r="W3" s="2" t="s">
        <v>24</v>
      </c>
      <c r="X3" s="5" t="s">
        <v>38</v>
      </c>
      <c r="Y3" s="5" t="s">
        <v>23</v>
      </c>
      <c r="Z3" s="2" t="s">
        <v>24</v>
      </c>
      <c r="AA3" s="5" t="s">
        <v>37</v>
      </c>
    </row>
    <row r="4" spans="1:35" ht="33" customHeight="1" x14ac:dyDescent="0.3">
      <c r="A4" s="1">
        <v>1600</v>
      </c>
      <c r="B4" s="2" t="s">
        <v>39</v>
      </c>
      <c r="C4" s="5">
        <v>0</v>
      </c>
      <c r="D4" s="6">
        <v>61</v>
      </c>
      <c r="E4" s="7">
        <f>D4-C4</f>
        <v>61</v>
      </c>
      <c r="F4" s="2">
        <v>0</v>
      </c>
      <c r="G4" s="1">
        <v>0</v>
      </c>
      <c r="H4" s="7">
        <f>G4-F4</f>
        <v>0</v>
      </c>
      <c r="I4" s="2">
        <v>0</v>
      </c>
      <c r="J4" s="22">
        <v>0</v>
      </c>
      <c r="K4" s="7">
        <f>J4-I4</f>
        <v>0</v>
      </c>
      <c r="L4" s="7">
        <v>0</v>
      </c>
      <c r="M4" s="7">
        <v>0</v>
      </c>
      <c r="N4" s="7">
        <f>M4-L4</f>
        <v>0</v>
      </c>
      <c r="O4" s="7">
        <v>0</v>
      </c>
      <c r="P4" s="8">
        <v>0</v>
      </c>
      <c r="Q4" s="7">
        <f>P4-O4</f>
        <v>0</v>
      </c>
      <c r="R4" s="7">
        <v>0</v>
      </c>
      <c r="S4" s="7">
        <v>0</v>
      </c>
      <c r="T4" s="7">
        <f>S4-R4</f>
        <v>0</v>
      </c>
      <c r="U4" s="5">
        <v>0</v>
      </c>
      <c r="V4" s="6">
        <v>0</v>
      </c>
      <c r="W4" s="7">
        <f>V4-U4</f>
        <v>0</v>
      </c>
      <c r="X4" s="5">
        <f t="shared" ref="X4:Y14" si="0">C4+F4+I4+L4+O4+U4+R4</f>
        <v>0</v>
      </c>
      <c r="Y4" s="6">
        <f>D4+G4+J4+M4+P4+V4+S4</f>
        <v>61</v>
      </c>
      <c r="Z4" s="7">
        <f>Y4-X4</f>
        <v>61</v>
      </c>
      <c r="AA4" s="33" t="s">
        <v>40</v>
      </c>
      <c r="AB4" s="34" t="s">
        <v>41</v>
      </c>
    </row>
    <row r="5" spans="1:35" ht="33" customHeight="1" x14ac:dyDescent="0.25">
      <c r="A5" s="1">
        <v>1700</v>
      </c>
      <c r="B5" s="2" t="s">
        <v>2</v>
      </c>
      <c r="C5" s="2">
        <v>0</v>
      </c>
      <c r="D5" s="6">
        <v>0</v>
      </c>
      <c r="E5" s="7">
        <f t="shared" ref="E5:E20" si="1">D5-C5</f>
        <v>0</v>
      </c>
      <c r="F5" s="5">
        <v>0</v>
      </c>
      <c r="G5" s="1">
        <v>0</v>
      </c>
      <c r="H5" s="7">
        <f t="shared" ref="H5:H7" si="2">G5-F5</f>
        <v>0</v>
      </c>
      <c r="I5" s="5">
        <v>0</v>
      </c>
      <c r="J5" s="1">
        <v>0</v>
      </c>
      <c r="K5" s="7">
        <f t="shared" ref="K5:K7" si="3">J5-I5</f>
        <v>0</v>
      </c>
      <c r="L5" s="7">
        <v>0</v>
      </c>
      <c r="M5" s="7">
        <v>0</v>
      </c>
      <c r="N5" s="7">
        <f>M5-L5</f>
        <v>0</v>
      </c>
      <c r="O5" s="7">
        <v>0</v>
      </c>
      <c r="P5" s="8">
        <v>0</v>
      </c>
      <c r="Q5" s="7">
        <f t="shared" ref="Q5:Q20" si="4">P5-O5</f>
        <v>0</v>
      </c>
      <c r="R5" s="7">
        <v>0</v>
      </c>
      <c r="S5" s="7">
        <v>0</v>
      </c>
      <c r="T5" s="7">
        <f t="shared" ref="T5:T7" si="5">S5-R5</f>
        <v>0</v>
      </c>
      <c r="U5" s="5">
        <v>0</v>
      </c>
      <c r="V5" s="6">
        <v>0</v>
      </c>
      <c r="W5" s="7">
        <f>V5-U5</f>
        <v>0</v>
      </c>
      <c r="X5" s="5">
        <f t="shared" si="0"/>
        <v>0</v>
      </c>
      <c r="Y5" s="6">
        <f t="shared" si="0"/>
        <v>0</v>
      </c>
      <c r="Z5" s="7">
        <f t="shared" ref="Z5:Z21" si="6">Y5-X5</f>
        <v>0</v>
      </c>
      <c r="AA5" s="6">
        <v>0</v>
      </c>
      <c r="AB5" s="37" t="s">
        <v>44</v>
      </c>
      <c r="AC5" s="37"/>
      <c r="AD5" s="37"/>
      <c r="AE5" s="37"/>
      <c r="AF5" s="37"/>
      <c r="AG5" s="37"/>
      <c r="AH5" s="37"/>
      <c r="AI5" s="37"/>
    </row>
    <row r="6" spans="1:35" ht="33" customHeight="1" x14ac:dyDescent="0.25">
      <c r="A6" s="1">
        <v>2900</v>
      </c>
      <c r="B6" s="2" t="s">
        <v>3</v>
      </c>
      <c r="C6" s="2">
        <v>0</v>
      </c>
      <c r="D6" s="6">
        <v>0</v>
      </c>
      <c r="E6" s="7">
        <f t="shared" si="1"/>
        <v>0</v>
      </c>
      <c r="F6" s="2">
        <v>0</v>
      </c>
      <c r="G6" s="1">
        <v>0</v>
      </c>
      <c r="H6" s="7">
        <f t="shared" si="2"/>
        <v>0</v>
      </c>
      <c r="I6" s="5">
        <v>0</v>
      </c>
      <c r="J6" s="1">
        <v>0</v>
      </c>
      <c r="K6" s="7">
        <f t="shared" si="3"/>
        <v>0</v>
      </c>
      <c r="L6" s="7">
        <v>0</v>
      </c>
      <c r="M6" s="7">
        <v>0</v>
      </c>
      <c r="N6" s="7">
        <f t="shared" ref="N6:N15" si="7">M6-L6</f>
        <v>0</v>
      </c>
      <c r="O6" s="7">
        <v>0</v>
      </c>
      <c r="P6" s="8">
        <v>0</v>
      </c>
      <c r="Q6" s="7">
        <f t="shared" si="4"/>
        <v>0</v>
      </c>
      <c r="R6" s="7">
        <v>0</v>
      </c>
      <c r="S6" s="7">
        <v>0</v>
      </c>
      <c r="T6" s="7">
        <f t="shared" si="5"/>
        <v>0</v>
      </c>
      <c r="U6" s="5">
        <v>0</v>
      </c>
      <c r="V6" s="6">
        <v>0</v>
      </c>
      <c r="W6" s="7">
        <f t="shared" ref="W6:W20" si="8">V6-U6</f>
        <v>0</v>
      </c>
      <c r="X6" s="5">
        <f t="shared" si="0"/>
        <v>0</v>
      </c>
      <c r="Y6" s="6">
        <f t="shared" si="0"/>
        <v>0</v>
      </c>
      <c r="Z6" s="7">
        <f t="shared" si="6"/>
        <v>0</v>
      </c>
      <c r="AA6" s="6">
        <v>0</v>
      </c>
    </row>
    <row r="7" spans="1:35" ht="33" customHeight="1" x14ac:dyDescent="0.25">
      <c r="A7" s="1">
        <v>3000</v>
      </c>
      <c r="B7" s="2" t="s">
        <v>4</v>
      </c>
      <c r="C7" s="2">
        <v>0</v>
      </c>
      <c r="D7" s="6">
        <v>0</v>
      </c>
      <c r="E7" s="7">
        <f t="shared" si="1"/>
        <v>0</v>
      </c>
      <c r="F7" s="5">
        <v>0</v>
      </c>
      <c r="G7" s="1">
        <v>0</v>
      </c>
      <c r="H7" s="7">
        <f t="shared" si="2"/>
        <v>0</v>
      </c>
      <c r="I7" s="5">
        <v>0</v>
      </c>
      <c r="J7" s="1">
        <v>0</v>
      </c>
      <c r="K7" s="7">
        <f t="shared" si="3"/>
        <v>0</v>
      </c>
      <c r="L7" s="7">
        <v>0</v>
      </c>
      <c r="M7" s="7">
        <v>0</v>
      </c>
      <c r="N7" s="7">
        <f t="shared" si="7"/>
        <v>0</v>
      </c>
      <c r="O7" s="7">
        <v>0</v>
      </c>
      <c r="P7" s="8">
        <v>0</v>
      </c>
      <c r="Q7" s="7">
        <f t="shared" si="4"/>
        <v>0</v>
      </c>
      <c r="R7" s="7">
        <v>0</v>
      </c>
      <c r="S7" s="7">
        <v>0</v>
      </c>
      <c r="T7" s="7">
        <f t="shared" si="5"/>
        <v>0</v>
      </c>
      <c r="U7" s="5">
        <v>4017</v>
      </c>
      <c r="V7" s="6">
        <v>4017</v>
      </c>
      <c r="W7" s="7">
        <f t="shared" si="8"/>
        <v>0</v>
      </c>
      <c r="X7" s="5">
        <v>4017</v>
      </c>
      <c r="Y7" s="6">
        <f t="shared" si="0"/>
        <v>4017</v>
      </c>
      <c r="Z7" s="7">
        <f t="shared" si="6"/>
        <v>0</v>
      </c>
      <c r="AA7" s="6">
        <f t="shared" ref="AA7:AA16" si="9">Y7/X7*100</f>
        <v>100</v>
      </c>
    </row>
    <row r="8" spans="1:35" ht="33" customHeight="1" x14ac:dyDescent="0.25">
      <c r="A8" s="1">
        <v>3100</v>
      </c>
      <c r="B8" s="2" t="s">
        <v>5</v>
      </c>
      <c r="C8" s="2">
        <v>0</v>
      </c>
      <c r="D8" s="6">
        <v>0</v>
      </c>
      <c r="E8" s="7">
        <f t="shared" si="1"/>
        <v>0</v>
      </c>
      <c r="F8" s="2">
        <v>0</v>
      </c>
      <c r="G8" s="6">
        <v>0</v>
      </c>
      <c r="H8" s="7">
        <f t="shared" ref="H8:H17" si="10">G8-F8</f>
        <v>0</v>
      </c>
      <c r="I8" s="5">
        <v>0</v>
      </c>
      <c r="J8" s="1">
        <v>0</v>
      </c>
      <c r="K8" s="7">
        <f t="shared" ref="K8:K9" si="11">J8-I8</f>
        <v>0</v>
      </c>
      <c r="L8" s="7">
        <v>0</v>
      </c>
      <c r="M8" s="7">
        <v>0</v>
      </c>
      <c r="N8" s="7">
        <f t="shared" si="7"/>
        <v>0</v>
      </c>
      <c r="O8" s="7">
        <v>0</v>
      </c>
      <c r="P8" s="8">
        <v>0</v>
      </c>
      <c r="Q8" s="7">
        <f t="shared" si="4"/>
        <v>0</v>
      </c>
      <c r="R8" s="7">
        <v>0</v>
      </c>
      <c r="S8" s="7">
        <v>0</v>
      </c>
      <c r="T8" s="7">
        <f t="shared" ref="T8:T13" si="12">S8-R8</f>
        <v>0</v>
      </c>
      <c r="U8" s="6">
        <v>0</v>
      </c>
      <c r="V8" s="6">
        <v>0</v>
      </c>
      <c r="W8" s="7">
        <f t="shared" si="8"/>
        <v>0</v>
      </c>
      <c r="X8" s="5">
        <f t="shared" si="0"/>
        <v>0</v>
      </c>
      <c r="Y8" s="6">
        <f t="shared" si="0"/>
        <v>0</v>
      </c>
      <c r="Z8" s="7">
        <f t="shared" si="6"/>
        <v>0</v>
      </c>
      <c r="AA8" s="6">
        <v>0</v>
      </c>
    </row>
    <row r="9" spans="1:35" ht="33" customHeight="1" x14ac:dyDescent="0.25">
      <c r="A9" s="1">
        <v>3200</v>
      </c>
      <c r="B9" s="2" t="s">
        <v>6</v>
      </c>
      <c r="C9" s="2">
        <v>0</v>
      </c>
      <c r="D9" s="6">
        <v>0</v>
      </c>
      <c r="E9" s="7">
        <f t="shared" si="1"/>
        <v>0</v>
      </c>
      <c r="F9" s="5">
        <v>0</v>
      </c>
      <c r="G9" s="6">
        <v>0</v>
      </c>
      <c r="H9" s="7">
        <f t="shared" si="10"/>
        <v>0</v>
      </c>
      <c r="I9" s="5">
        <v>0</v>
      </c>
      <c r="J9" s="1">
        <v>0</v>
      </c>
      <c r="K9" s="7">
        <f t="shared" si="11"/>
        <v>0</v>
      </c>
      <c r="L9" s="7">
        <v>0</v>
      </c>
      <c r="M9" s="7">
        <v>0</v>
      </c>
      <c r="N9" s="7">
        <f t="shared" si="7"/>
        <v>0</v>
      </c>
      <c r="O9" s="7">
        <v>0</v>
      </c>
      <c r="P9" s="8">
        <v>0</v>
      </c>
      <c r="Q9" s="7">
        <f t="shared" si="4"/>
        <v>0</v>
      </c>
      <c r="R9" s="7">
        <v>0</v>
      </c>
      <c r="S9" s="7">
        <v>0</v>
      </c>
      <c r="T9" s="7">
        <f t="shared" si="12"/>
        <v>0</v>
      </c>
      <c r="U9" s="5">
        <v>0</v>
      </c>
      <c r="V9" s="6">
        <v>0</v>
      </c>
      <c r="W9" s="7">
        <f t="shared" si="8"/>
        <v>0</v>
      </c>
      <c r="X9" s="5">
        <f t="shared" si="0"/>
        <v>0</v>
      </c>
      <c r="Y9" s="6">
        <f t="shared" si="0"/>
        <v>0</v>
      </c>
      <c r="Z9" s="7">
        <f t="shared" si="6"/>
        <v>0</v>
      </c>
      <c r="AA9" s="6">
        <v>0</v>
      </c>
    </row>
    <row r="10" spans="1:35" ht="33" customHeight="1" x14ac:dyDescent="0.3">
      <c r="A10" s="1">
        <v>3300</v>
      </c>
      <c r="B10" s="2" t="s">
        <v>7</v>
      </c>
      <c r="C10" s="36">
        <v>0</v>
      </c>
      <c r="D10" s="35">
        <v>154</v>
      </c>
      <c r="E10" s="7">
        <f t="shared" si="1"/>
        <v>154</v>
      </c>
      <c r="F10" s="2">
        <v>0</v>
      </c>
      <c r="G10" s="6">
        <v>0</v>
      </c>
      <c r="H10" s="7">
        <f t="shared" si="10"/>
        <v>0</v>
      </c>
      <c r="I10" s="5">
        <v>0</v>
      </c>
      <c r="J10" s="6">
        <v>0</v>
      </c>
      <c r="K10" s="7">
        <f t="shared" ref="K10:K16" si="13">J10-I10</f>
        <v>0</v>
      </c>
      <c r="L10" s="7">
        <v>0</v>
      </c>
      <c r="M10" s="7">
        <v>0</v>
      </c>
      <c r="N10" s="7">
        <f t="shared" si="7"/>
        <v>0</v>
      </c>
      <c r="O10" s="7">
        <v>0</v>
      </c>
      <c r="P10" s="8">
        <v>0</v>
      </c>
      <c r="Q10" s="7">
        <f t="shared" si="4"/>
        <v>0</v>
      </c>
      <c r="R10" s="7">
        <v>0</v>
      </c>
      <c r="S10" s="7">
        <v>0</v>
      </c>
      <c r="T10" s="7">
        <f t="shared" si="12"/>
        <v>0</v>
      </c>
      <c r="U10" s="5">
        <v>0</v>
      </c>
      <c r="V10" s="6">
        <v>-61</v>
      </c>
      <c r="W10" s="7">
        <f t="shared" si="8"/>
        <v>-61</v>
      </c>
      <c r="X10" s="5">
        <f>C10+F10+I10+L10+O10+U10+R10</f>
        <v>0</v>
      </c>
      <c r="Y10" s="6">
        <f>D10+G10+J10+M10+P10+V10+S10</f>
        <v>93</v>
      </c>
      <c r="Z10" s="7">
        <f t="shared" si="6"/>
        <v>93</v>
      </c>
      <c r="AA10" s="33" t="s">
        <v>40</v>
      </c>
      <c r="AB10" s="34" t="s">
        <v>42</v>
      </c>
    </row>
    <row r="11" spans="1:35" ht="33" customHeight="1" x14ac:dyDescent="0.25">
      <c r="A11" s="1">
        <v>3600</v>
      </c>
      <c r="B11" s="9" t="s">
        <v>8</v>
      </c>
      <c r="C11" s="2">
        <v>0</v>
      </c>
      <c r="D11" s="6">
        <v>0</v>
      </c>
      <c r="E11" s="7">
        <f t="shared" si="1"/>
        <v>0</v>
      </c>
      <c r="F11" s="5">
        <v>0</v>
      </c>
      <c r="G11" s="6">
        <v>0</v>
      </c>
      <c r="H11" s="7">
        <f t="shared" si="10"/>
        <v>0</v>
      </c>
      <c r="I11" s="5">
        <v>0</v>
      </c>
      <c r="J11" s="6">
        <v>0</v>
      </c>
      <c r="K11" s="7">
        <f t="shared" si="13"/>
        <v>0</v>
      </c>
      <c r="L11" s="7">
        <v>0</v>
      </c>
      <c r="M11" s="7">
        <v>0</v>
      </c>
      <c r="N11" s="7">
        <f t="shared" si="7"/>
        <v>0</v>
      </c>
      <c r="O11" s="7">
        <v>0</v>
      </c>
      <c r="P11" s="8">
        <v>0</v>
      </c>
      <c r="Q11" s="7">
        <f t="shared" si="4"/>
        <v>0</v>
      </c>
      <c r="R11" s="7">
        <v>0</v>
      </c>
      <c r="S11" s="7">
        <v>0</v>
      </c>
      <c r="T11" s="7">
        <f t="shared" si="12"/>
        <v>0</v>
      </c>
      <c r="U11" s="5">
        <v>0</v>
      </c>
      <c r="V11" s="6">
        <v>0</v>
      </c>
      <c r="W11" s="7">
        <f t="shared" si="8"/>
        <v>0</v>
      </c>
      <c r="X11" s="5">
        <f t="shared" si="0"/>
        <v>0</v>
      </c>
      <c r="Y11" s="6">
        <f t="shared" si="0"/>
        <v>0</v>
      </c>
      <c r="Z11" s="7">
        <f t="shared" si="6"/>
        <v>0</v>
      </c>
      <c r="AA11" s="6" t="e">
        <f t="shared" si="9"/>
        <v>#DIV/0!</v>
      </c>
      <c r="AB11" s="37" t="s">
        <v>44</v>
      </c>
    </row>
    <row r="12" spans="1:35" ht="33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7">
        <f t="shared" si="1"/>
        <v>0</v>
      </c>
      <c r="F12" s="5">
        <v>0</v>
      </c>
      <c r="G12" s="6">
        <v>0</v>
      </c>
      <c r="H12" s="7">
        <f t="shared" si="10"/>
        <v>0</v>
      </c>
      <c r="I12" s="5">
        <v>0</v>
      </c>
      <c r="J12" s="6">
        <v>0</v>
      </c>
      <c r="K12" s="7">
        <f t="shared" si="13"/>
        <v>0</v>
      </c>
      <c r="L12" s="7">
        <v>0</v>
      </c>
      <c r="M12" s="7">
        <v>0</v>
      </c>
      <c r="N12" s="7">
        <f t="shared" si="7"/>
        <v>0</v>
      </c>
      <c r="O12" s="7">
        <v>0</v>
      </c>
      <c r="P12" s="8">
        <v>0</v>
      </c>
      <c r="Q12" s="7">
        <f t="shared" si="4"/>
        <v>0</v>
      </c>
      <c r="R12" s="7">
        <v>0</v>
      </c>
      <c r="S12" s="7">
        <v>0</v>
      </c>
      <c r="T12" s="7">
        <f t="shared" si="12"/>
        <v>0</v>
      </c>
      <c r="U12" s="5">
        <v>0</v>
      </c>
      <c r="V12" s="6">
        <v>0</v>
      </c>
      <c r="W12" s="7">
        <f t="shared" si="8"/>
        <v>0</v>
      </c>
      <c r="X12" s="5">
        <f t="shared" si="0"/>
        <v>0</v>
      </c>
      <c r="Y12" s="6">
        <f t="shared" si="0"/>
        <v>0</v>
      </c>
      <c r="Z12" s="7">
        <f t="shared" si="6"/>
        <v>0</v>
      </c>
      <c r="AA12" s="6" t="e">
        <f t="shared" si="9"/>
        <v>#DIV/0!</v>
      </c>
    </row>
    <row r="13" spans="1:35" ht="33" customHeight="1" x14ac:dyDescent="0.25">
      <c r="A13" s="1">
        <v>4100</v>
      </c>
      <c r="B13" s="2" t="s">
        <v>10</v>
      </c>
      <c r="C13" s="2">
        <v>0</v>
      </c>
      <c r="D13" s="6">
        <v>0</v>
      </c>
      <c r="E13" s="7">
        <f t="shared" si="1"/>
        <v>0</v>
      </c>
      <c r="F13" s="5">
        <v>0</v>
      </c>
      <c r="G13" s="6">
        <v>0</v>
      </c>
      <c r="H13" s="7">
        <f t="shared" si="10"/>
        <v>0</v>
      </c>
      <c r="I13" s="5">
        <v>0</v>
      </c>
      <c r="J13" s="6">
        <v>0</v>
      </c>
      <c r="K13" s="7">
        <f t="shared" si="13"/>
        <v>0</v>
      </c>
      <c r="L13" s="7">
        <v>0</v>
      </c>
      <c r="M13" s="7">
        <v>0</v>
      </c>
      <c r="N13" s="7">
        <f t="shared" si="7"/>
        <v>0</v>
      </c>
      <c r="O13" s="7">
        <v>0</v>
      </c>
      <c r="P13" s="8">
        <v>0</v>
      </c>
      <c r="Q13" s="7">
        <f t="shared" si="4"/>
        <v>0</v>
      </c>
      <c r="R13" s="7">
        <v>0</v>
      </c>
      <c r="S13" s="7">
        <v>0</v>
      </c>
      <c r="T13" s="7">
        <f t="shared" si="12"/>
        <v>0</v>
      </c>
      <c r="U13" s="5">
        <v>0</v>
      </c>
      <c r="V13" s="6">
        <v>0</v>
      </c>
      <c r="W13" s="7">
        <f t="shared" si="8"/>
        <v>0</v>
      </c>
      <c r="X13" s="5">
        <f t="shared" si="0"/>
        <v>0</v>
      </c>
      <c r="Y13" s="6">
        <f t="shared" si="0"/>
        <v>0</v>
      </c>
      <c r="Z13" s="7">
        <f t="shared" si="6"/>
        <v>0</v>
      </c>
      <c r="AA13" s="6">
        <v>0</v>
      </c>
    </row>
    <row r="14" spans="1:35" ht="33" customHeight="1" x14ac:dyDescent="0.25">
      <c r="A14" s="1">
        <v>4200</v>
      </c>
      <c r="B14" s="2" t="s">
        <v>11</v>
      </c>
      <c r="C14" s="31">
        <v>19910</v>
      </c>
      <c r="D14" s="6">
        <v>1335</v>
      </c>
      <c r="E14" s="7">
        <f t="shared" si="1"/>
        <v>-18575</v>
      </c>
      <c r="F14" s="5">
        <v>0</v>
      </c>
      <c r="G14" s="6">
        <v>0</v>
      </c>
      <c r="H14" s="7">
        <f t="shared" si="10"/>
        <v>0</v>
      </c>
      <c r="I14" s="5">
        <v>0</v>
      </c>
      <c r="J14" s="6">
        <v>0</v>
      </c>
      <c r="K14" s="7">
        <f t="shared" si="13"/>
        <v>0</v>
      </c>
      <c r="L14" s="7">
        <v>0</v>
      </c>
      <c r="M14" s="7">
        <v>0</v>
      </c>
      <c r="N14" s="7">
        <f t="shared" si="7"/>
        <v>0</v>
      </c>
      <c r="O14" s="7">
        <v>0</v>
      </c>
      <c r="P14" s="8">
        <v>0</v>
      </c>
      <c r="Q14" s="7">
        <f t="shared" si="4"/>
        <v>0</v>
      </c>
      <c r="R14" s="7">
        <v>0</v>
      </c>
      <c r="S14" s="7">
        <v>0</v>
      </c>
      <c r="T14" s="7">
        <f t="shared" ref="T14:T15" si="14">S14-R14</f>
        <v>0</v>
      </c>
      <c r="U14" s="5">
        <v>0</v>
      </c>
      <c r="V14" s="6">
        <v>0</v>
      </c>
      <c r="W14" s="7">
        <f t="shared" si="8"/>
        <v>0</v>
      </c>
      <c r="X14" s="5">
        <f t="shared" si="0"/>
        <v>19910</v>
      </c>
      <c r="Y14" s="6">
        <f t="shared" si="0"/>
        <v>1335</v>
      </c>
      <c r="Z14" s="7">
        <f t="shared" si="6"/>
        <v>-18575</v>
      </c>
      <c r="AA14" s="6">
        <f t="shared" si="9"/>
        <v>6.705173279758915</v>
      </c>
    </row>
    <row r="15" spans="1:35" ht="33" customHeight="1" x14ac:dyDescent="0.25">
      <c r="A15" s="1">
        <v>5100</v>
      </c>
      <c r="B15" s="2" t="s">
        <v>35</v>
      </c>
      <c r="C15" s="2">
        <v>0</v>
      </c>
      <c r="D15" s="6">
        <v>0</v>
      </c>
      <c r="E15" s="7">
        <f t="shared" si="1"/>
        <v>0</v>
      </c>
      <c r="F15" s="5">
        <v>0</v>
      </c>
      <c r="G15" s="5">
        <v>0</v>
      </c>
      <c r="H15" s="5">
        <f t="shared" si="10"/>
        <v>0</v>
      </c>
      <c r="I15" s="5">
        <v>0</v>
      </c>
      <c r="J15" s="6">
        <v>0</v>
      </c>
      <c r="K15" s="16">
        <f>J15-I15</f>
        <v>0</v>
      </c>
      <c r="L15" s="7">
        <v>0</v>
      </c>
      <c r="M15" s="7">
        <v>0</v>
      </c>
      <c r="N15" s="7">
        <f t="shared" si="7"/>
        <v>0</v>
      </c>
      <c r="O15" s="7">
        <v>0</v>
      </c>
      <c r="P15" s="8">
        <v>0</v>
      </c>
      <c r="Q15" s="7"/>
      <c r="R15" s="7">
        <v>0</v>
      </c>
      <c r="S15" s="7">
        <v>0</v>
      </c>
      <c r="T15" s="7">
        <f t="shared" si="14"/>
        <v>0</v>
      </c>
      <c r="U15" s="5">
        <v>0</v>
      </c>
      <c r="V15" s="6">
        <v>0</v>
      </c>
      <c r="W15" s="7">
        <f t="shared" si="8"/>
        <v>0</v>
      </c>
      <c r="X15" s="5">
        <f>C15+F15+I15+L15+O15+U15+R15</f>
        <v>0</v>
      </c>
      <c r="Y15" s="6">
        <f>D15+G15+J15+M15+P15+V15+S15</f>
        <v>0</v>
      </c>
      <c r="Z15" s="7">
        <f t="shared" si="6"/>
        <v>0</v>
      </c>
      <c r="AA15" s="6">
        <v>0</v>
      </c>
    </row>
    <row r="16" spans="1:35" ht="33" customHeight="1" x14ac:dyDescent="0.25">
      <c r="A16" s="1">
        <v>5300</v>
      </c>
      <c r="B16" s="2" t="s">
        <v>34</v>
      </c>
      <c r="C16" s="2">
        <v>735505</v>
      </c>
      <c r="D16" s="6">
        <v>736613</v>
      </c>
      <c r="E16" s="7">
        <f t="shared" si="1"/>
        <v>1108</v>
      </c>
      <c r="F16" s="5">
        <v>0</v>
      </c>
      <c r="G16" s="6">
        <v>0</v>
      </c>
      <c r="H16" s="7">
        <f t="shared" si="10"/>
        <v>0</v>
      </c>
      <c r="I16" s="5">
        <v>0</v>
      </c>
      <c r="J16" s="6">
        <v>0</v>
      </c>
      <c r="K16" s="7">
        <f t="shared" si="13"/>
        <v>0</v>
      </c>
      <c r="L16" s="7">
        <v>0</v>
      </c>
      <c r="M16" s="7">
        <v>0</v>
      </c>
      <c r="N16" s="7">
        <f t="shared" ref="N16:N20" si="15">M16-L16</f>
        <v>0</v>
      </c>
      <c r="O16" s="7">
        <v>0</v>
      </c>
      <c r="P16" s="8">
        <v>0</v>
      </c>
      <c r="Q16" s="7">
        <f t="shared" si="4"/>
        <v>0</v>
      </c>
      <c r="R16" s="7">
        <v>0</v>
      </c>
      <c r="S16" s="7">
        <v>0</v>
      </c>
      <c r="T16" s="7">
        <f t="shared" ref="T16:T20" si="16">S16-R16</f>
        <v>0</v>
      </c>
      <c r="U16" s="5">
        <v>0</v>
      </c>
      <c r="V16" s="6">
        <v>0</v>
      </c>
      <c r="W16" s="7">
        <f t="shared" si="8"/>
        <v>0</v>
      </c>
      <c r="X16" s="5">
        <f>C16+F16+I16+L16+O16+U16+R16</f>
        <v>735505</v>
      </c>
      <c r="Y16" s="6">
        <f>D16+G16+J16+M16+P16+V16+S16</f>
        <v>736613</v>
      </c>
      <c r="Z16" s="7">
        <f t="shared" si="6"/>
        <v>1108</v>
      </c>
      <c r="AA16" s="6">
        <f t="shared" si="9"/>
        <v>100.15064479507276</v>
      </c>
    </row>
    <row r="17" spans="1:27" ht="33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7">
        <f t="shared" si="1"/>
        <v>0</v>
      </c>
      <c r="F17" s="5">
        <v>0</v>
      </c>
      <c r="G17" s="6">
        <v>0</v>
      </c>
      <c r="H17" s="7">
        <f t="shared" si="10"/>
        <v>0</v>
      </c>
      <c r="I17" s="5">
        <v>0</v>
      </c>
      <c r="J17" s="6">
        <v>0</v>
      </c>
      <c r="K17" s="7">
        <f>J17-I17</f>
        <v>0</v>
      </c>
      <c r="L17" s="7">
        <v>0</v>
      </c>
      <c r="M17" s="7">
        <v>0</v>
      </c>
      <c r="N17" s="7">
        <f t="shared" si="15"/>
        <v>0</v>
      </c>
      <c r="O17" s="7">
        <v>0</v>
      </c>
      <c r="P17" s="8">
        <v>0</v>
      </c>
      <c r="Q17" s="7">
        <f t="shared" si="4"/>
        <v>0</v>
      </c>
      <c r="R17" s="7">
        <v>0</v>
      </c>
      <c r="S17" s="7">
        <v>0</v>
      </c>
      <c r="T17" s="7">
        <f t="shared" si="16"/>
        <v>0</v>
      </c>
      <c r="U17" s="5">
        <v>0</v>
      </c>
      <c r="V17" s="6">
        <v>0</v>
      </c>
      <c r="W17" s="7">
        <f t="shared" si="8"/>
        <v>0</v>
      </c>
      <c r="X17" s="5">
        <f t="shared" ref="X17:Y20" si="17">C17+F17+I17+L17+O17+U17+R17</f>
        <v>0</v>
      </c>
      <c r="Y17" s="6">
        <f>D17+G17+J17+M17+P17+V17+S17</f>
        <v>0</v>
      </c>
      <c r="Z17" s="7">
        <f t="shared" si="6"/>
        <v>0</v>
      </c>
      <c r="AA17" s="6">
        <v>0</v>
      </c>
    </row>
    <row r="18" spans="1:27" ht="33" customHeight="1" x14ac:dyDescent="0.25">
      <c r="A18" s="1">
        <v>6400</v>
      </c>
      <c r="B18" s="2" t="s">
        <v>13</v>
      </c>
      <c r="C18" s="2">
        <v>0</v>
      </c>
      <c r="D18" s="6">
        <v>0</v>
      </c>
      <c r="E18" s="7">
        <f t="shared" si="1"/>
        <v>0</v>
      </c>
      <c r="F18" s="5">
        <v>0</v>
      </c>
      <c r="G18" s="6">
        <v>0</v>
      </c>
      <c r="H18" s="7">
        <f>G18-F18</f>
        <v>0</v>
      </c>
      <c r="I18" s="5">
        <v>0</v>
      </c>
      <c r="J18" s="6">
        <v>0</v>
      </c>
      <c r="K18" s="7">
        <f>J18-I18</f>
        <v>0</v>
      </c>
      <c r="L18" s="7">
        <v>0</v>
      </c>
      <c r="M18" s="7">
        <v>0</v>
      </c>
      <c r="N18" s="7">
        <f t="shared" si="15"/>
        <v>0</v>
      </c>
      <c r="O18" s="7">
        <v>0</v>
      </c>
      <c r="P18" s="8">
        <v>0</v>
      </c>
      <c r="Q18" s="7">
        <f t="shared" si="4"/>
        <v>0</v>
      </c>
      <c r="R18" s="7">
        <v>0</v>
      </c>
      <c r="S18" s="7">
        <v>0</v>
      </c>
      <c r="T18" s="7">
        <f t="shared" si="16"/>
        <v>0</v>
      </c>
      <c r="U18" s="5">
        <v>0</v>
      </c>
      <c r="V18" s="10">
        <v>0</v>
      </c>
      <c r="W18" s="7">
        <f t="shared" si="8"/>
        <v>0</v>
      </c>
      <c r="X18" s="5">
        <f t="shared" si="17"/>
        <v>0</v>
      </c>
      <c r="Y18" s="6">
        <f>D18+G18+J18+M18+P18+V18+S18</f>
        <v>0</v>
      </c>
      <c r="Z18" s="7">
        <f t="shared" si="6"/>
        <v>0</v>
      </c>
      <c r="AA18" s="6">
        <v>0</v>
      </c>
    </row>
    <row r="19" spans="1:27" x14ac:dyDescent="0.25">
      <c r="A19" s="1"/>
      <c r="B19" s="2" t="s">
        <v>14</v>
      </c>
      <c r="C19" s="2">
        <v>0</v>
      </c>
      <c r="D19" s="6">
        <v>0</v>
      </c>
      <c r="E19" s="7">
        <f t="shared" si="1"/>
        <v>0</v>
      </c>
      <c r="F19" s="5">
        <v>0</v>
      </c>
      <c r="G19" s="6">
        <v>0</v>
      </c>
      <c r="H19" s="7">
        <f>G19-F19</f>
        <v>0</v>
      </c>
      <c r="I19" s="5">
        <v>0</v>
      </c>
      <c r="J19" s="6">
        <v>0</v>
      </c>
      <c r="K19" s="7">
        <f>J19-I19</f>
        <v>0</v>
      </c>
      <c r="L19" s="7">
        <v>0</v>
      </c>
      <c r="M19" s="7">
        <v>0</v>
      </c>
      <c r="N19" s="7">
        <f t="shared" si="15"/>
        <v>0</v>
      </c>
      <c r="O19" s="7">
        <v>0</v>
      </c>
      <c r="P19" s="8">
        <v>0</v>
      </c>
      <c r="Q19" s="7">
        <f t="shared" si="4"/>
        <v>0</v>
      </c>
      <c r="R19" s="7">
        <v>0</v>
      </c>
      <c r="S19" s="7">
        <v>0</v>
      </c>
      <c r="T19" s="7">
        <f t="shared" si="16"/>
        <v>0</v>
      </c>
      <c r="U19" s="5">
        <v>0</v>
      </c>
      <c r="V19" s="10">
        <v>0</v>
      </c>
      <c r="W19" s="7">
        <f t="shared" si="8"/>
        <v>0</v>
      </c>
      <c r="X19" s="5">
        <f t="shared" si="17"/>
        <v>0</v>
      </c>
      <c r="Y19" s="6">
        <f t="shared" si="17"/>
        <v>0</v>
      </c>
      <c r="Z19" s="7">
        <f t="shared" si="6"/>
        <v>0</v>
      </c>
      <c r="AA19" s="6">
        <v>0</v>
      </c>
    </row>
    <row r="20" spans="1:27" ht="33" customHeight="1" x14ac:dyDescent="0.25">
      <c r="A20" s="1">
        <v>6500</v>
      </c>
      <c r="B20" s="2" t="s">
        <v>15</v>
      </c>
      <c r="C20" s="2"/>
      <c r="D20" s="6">
        <v>0</v>
      </c>
      <c r="E20" s="7">
        <f t="shared" si="1"/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  <c r="L20" s="7">
        <v>0</v>
      </c>
      <c r="M20" s="7">
        <v>0</v>
      </c>
      <c r="N20" s="7">
        <f t="shared" si="15"/>
        <v>0</v>
      </c>
      <c r="O20" s="7">
        <v>0</v>
      </c>
      <c r="P20" s="8">
        <v>0</v>
      </c>
      <c r="Q20" s="7">
        <f t="shared" si="4"/>
        <v>0</v>
      </c>
      <c r="R20" s="7">
        <v>0</v>
      </c>
      <c r="S20" s="7">
        <v>0</v>
      </c>
      <c r="T20" s="7">
        <f t="shared" si="16"/>
        <v>0</v>
      </c>
      <c r="U20" s="5">
        <v>0</v>
      </c>
      <c r="V20" s="6">
        <v>0</v>
      </c>
      <c r="W20" s="7">
        <f t="shared" si="8"/>
        <v>0</v>
      </c>
      <c r="X20" s="5">
        <f t="shared" si="17"/>
        <v>0</v>
      </c>
      <c r="Y20" s="6">
        <f t="shared" si="17"/>
        <v>0</v>
      </c>
      <c r="Z20" s="7">
        <f t="shared" si="6"/>
        <v>0</v>
      </c>
      <c r="AA20" s="6">
        <v>0</v>
      </c>
    </row>
    <row r="21" spans="1:27" ht="33" customHeight="1" x14ac:dyDescent="0.25">
      <c r="A21" s="47" t="s">
        <v>16</v>
      </c>
      <c r="B21" s="48"/>
      <c r="C21" s="2">
        <f>SUM(C4:C20)</f>
        <v>755415</v>
      </c>
      <c r="D21" s="1">
        <f>SUM(D4:D20)</f>
        <v>738163</v>
      </c>
      <c r="E21" s="7">
        <f t="shared" ref="E21" si="18">D21-C21</f>
        <v>-17252</v>
      </c>
      <c r="F21" s="2">
        <f>SUM(F4:F20)</f>
        <v>0</v>
      </c>
      <c r="G21" s="1">
        <f>SUM(G4:G20)</f>
        <v>0</v>
      </c>
      <c r="H21" s="7">
        <f t="shared" ref="H21" si="19">G21-F21</f>
        <v>0</v>
      </c>
      <c r="I21" s="2">
        <f>SUM(I4:I20)</f>
        <v>0</v>
      </c>
      <c r="J21" s="1">
        <f>SUM(J4:J20)</f>
        <v>0</v>
      </c>
      <c r="K21" s="7">
        <f t="shared" ref="K21" si="20">J21-I21</f>
        <v>0</v>
      </c>
      <c r="L21" s="2">
        <f>SUM(L4:L20)</f>
        <v>0</v>
      </c>
      <c r="M21" s="2">
        <f>SUM(M4:M20)</f>
        <v>0</v>
      </c>
      <c r="N21" s="7">
        <f t="shared" ref="N21" si="21">M21-L21</f>
        <v>0</v>
      </c>
      <c r="O21" s="1">
        <f>SUM(O4:O20)</f>
        <v>0</v>
      </c>
      <c r="P21" s="1">
        <f>SUM(P4:P20)</f>
        <v>0</v>
      </c>
      <c r="Q21" s="7">
        <f>P21-O21</f>
        <v>0</v>
      </c>
      <c r="R21" s="1">
        <f>SUM(R4:R20)</f>
        <v>0</v>
      </c>
      <c r="S21" s="1">
        <f>SUM(S4:S20)</f>
        <v>0</v>
      </c>
      <c r="T21" s="1">
        <f>SUM(T4:T20)</f>
        <v>0</v>
      </c>
      <c r="U21" s="2">
        <f>SUM(U4:U20)</f>
        <v>4017</v>
      </c>
      <c r="V21" s="1">
        <f>SUM(V4:V20)</f>
        <v>3956</v>
      </c>
      <c r="W21" s="7">
        <f>V21-U21</f>
        <v>-61</v>
      </c>
      <c r="X21" s="2">
        <f>SUM(X4:X20)</f>
        <v>759432</v>
      </c>
      <c r="Y21" s="1">
        <f>SUM(Y4:Y20)</f>
        <v>742119</v>
      </c>
      <c r="Z21" s="7">
        <f t="shared" si="6"/>
        <v>-17313</v>
      </c>
      <c r="AA21" s="6">
        <f>Y21/X21*100</f>
        <v>97.720269885914732</v>
      </c>
    </row>
    <row r="22" spans="1:27" x14ac:dyDescent="0.25">
      <c r="A22" s="19"/>
      <c r="B22" s="19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27" x14ac:dyDescent="0.25">
      <c r="B23" s="17" t="s">
        <v>25</v>
      </c>
    </row>
    <row r="24" spans="1:27" x14ac:dyDescent="0.25">
      <c r="B24" s="17" t="s">
        <v>26</v>
      </c>
      <c r="W24" s="17" t="s">
        <v>27</v>
      </c>
    </row>
    <row r="25" spans="1:27" x14ac:dyDescent="0.25">
      <c r="B25" s="17" t="s">
        <v>28</v>
      </c>
      <c r="W25" s="17" t="s">
        <v>29</v>
      </c>
    </row>
    <row r="27" spans="1:27" x14ac:dyDescent="0.25">
      <c r="J27" s="17" t="s">
        <v>43</v>
      </c>
    </row>
    <row r="36" spans="1:27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t="s">
        <v>36</v>
      </c>
    </row>
    <row r="37" spans="1:27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7" x14ac:dyDescent="0.25">
      <c r="A38" s="26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</row>
    <row r="40" spans="1:27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1"/>
      <c r="V40" s="22"/>
      <c r="W40" s="20"/>
      <c r="X40" s="21"/>
      <c r="Y40" s="22"/>
      <c r="Z40" s="20"/>
    </row>
    <row r="41" spans="1:27" x14ac:dyDescent="0.25">
      <c r="A41" s="22"/>
      <c r="B41" s="21"/>
      <c r="C41" s="21"/>
      <c r="D41" s="22"/>
      <c r="E41" s="20"/>
      <c r="F41" s="21"/>
      <c r="G41" s="22"/>
      <c r="H41" s="20"/>
      <c r="I41" s="21"/>
      <c r="J41" s="22"/>
      <c r="K41" s="20"/>
      <c r="L41" s="20"/>
      <c r="M41" s="20"/>
      <c r="N41" s="20"/>
      <c r="O41" s="20"/>
      <c r="P41" s="23"/>
      <c r="Q41" s="20"/>
      <c r="R41" s="20"/>
      <c r="S41" s="20"/>
      <c r="T41" s="20"/>
      <c r="U41" s="21"/>
      <c r="V41" s="22"/>
      <c r="W41" s="20"/>
      <c r="X41" s="21"/>
      <c r="Y41" s="22"/>
      <c r="Z41" s="20"/>
    </row>
    <row r="42" spans="1:27" x14ac:dyDescent="0.25">
      <c r="A42" s="22"/>
      <c r="B42" s="21"/>
      <c r="C42" s="21"/>
      <c r="D42" s="22"/>
      <c r="E42" s="20"/>
      <c r="F42" s="21"/>
      <c r="G42" s="22"/>
      <c r="H42" s="20"/>
      <c r="I42" s="21"/>
      <c r="J42" s="22"/>
      <c r="K42" s="20"/>
      <c r="L42" s="20"/>
      <c r="M42" s="20"/>
      <c r="N42" s="20"/>
      <c r="O42" s="20"/>
      <c r="P42" s="23"/>
      <c r="Q42" s="20"/>
      <c r="R42" s="20"/>
      <c r="S42" s="20"/>
      <c r="T42" s="20"/>
      <c r="U42" s="21"/>
      <c r="V42" s="22"/>
      <c r="W42" s="20"/>
      <c r="X42" s="21"/>
      <c r="Y42" s="22"/>
      <c r="Z42" s="20"/>
    </row>
    <row r="43" spans="1:27" x14ac:dyDescent="0.25">
      <c r="A43" s="22"/>
      <c r="B43" s="21"/>
      <c r="C43" s="21"/>
      <c r="D43" s="22"/>
      <c r="E43" s="20"/>
      <c r="F43" s="21"/>
      <c r="G43" s="22"/>
      <c r="H43" s="20"/>
      <c r="I43" s="21"/>
      <c r="J43" s="22"/>
      <c r="K43" s="20"/>
      <c r="L43" s="20"/>
      <c r="M43" s="20"/>
      <c r="N43" s="20"/>
      <c r="O43" s="20"/>
      <c r="P43" s="23"/>
      <c r="Q43" s="20"/>
      <c r="R43" s="20"/>
      <c r="S43" s="20"/>
      <c r="T43" s="20"/>
      <c r="U43" s="22"/>
      <c r="V43" s="22"/>
      <c r="W43" s="20"/>
      <c r="X43" s="21"/>
      <c r="Y43" s="22"/>
      <c r="Z43" s="20"/>
    </row>
    <row r="44" spans="1:27" x14ac:dyDescent="0.25">
      <c r="A44" s="22"/>
      <c r="B44" s="21"/>
      <c r="C44" s="21"/>
      <c r="D44" s="22"/>
      <c r="E44" s="20"/>
      <c r="F44" s="21"/>
      <c r="G44" s="22"/>
      <c r="H44" s="20"/>
      <c r="I44" s="21"/>
      <c r="J44" s="22"/>
      <c r="K44" s="20"/>
      <c r="L44" s="20"/>
      <c r="M44" s="20"/>
      <c r="N44" s="20"/>
      <c r="O44" s="20"/>
      <c r="P44" s="23"/>
      <c r="Q44" s="20"/>
      <c r="R44" s="20"/>
      <c r="S44" s="20"/>
      <c r="T44" s="20"/>
      <c r="U44" s="21"/>
      <c r="V44" s="22"/>
      <c r="W44" s="20"/>
      <c r="X44" s="21"/>
      <c r="Y44" s="22"/>
      <c r="Z44" s="20"/>
    </row>
    <row r="45" spans="1:27" x14ac:dyDescent="0.25">
      <c r="A45" s="22"/>
      <c r="B45" s="21"/>
      <c r="C45" s="21"/>
      <c r="D45" s="22"/>
      <c r="E45" s="20"/>
      <c r="F45" s="21"/>
      <c r="G45" s="22"/>
      <c r="H45" s="20"/>
      <c r="I45" s="21"/>
      <c r="J45" s="22"/>
      <c r="K45" s="20"/>
      <c r="L45" s="20"/>
      <c r="M45" s="20"/>
      <c r="N45" s="20"/>
      <c r="O45" s="20"/>
      <c r="P45" s="23"/>
      <c r="Q45" s="20"/>
      <c r="R45" s="20"/>
      <c r="S45" s="20"/>
      <c r="T45" s="20"/>
      <c r="U45" s="21"/>
      <c r="V45" s="22"/>
      <c r="W45" s="20"/>
      <c r="X45" s="21"/>
      <c r="Y45" s="22"/>
      <c r="Z45" s="20"/>
    </row>
    <row r="46" spans="1:27" x14ac:dyDescent="0.25">
      <c r="A46" s="22"/>
      <c r="B46" s="27"/>
      <c r="C46" s="21"/>
      <c r="D46" s="22"/>
      <c r="E46" s="20"/>
      <c r="F46" s="21"/>
      <c r="G46" s="22"/>
      <c r="H46" s="20"/>
      <c r="I46" s="21"/>
      <c r="J46" s="22"/>
      <c r="K46" s="20"/>
      <c r="L46" s="20"/>
      <c r="M46" s="20"/>
      <c r="N46" s="20"/>
      <c r="O46" s="20"/>
      <c r="P46" s="23"/>
      <c r="Q46" s="20"/>
      <c r="R46" s="20"/>
      <c r="S46" s="20"/>
      <c r="T46" s="20"/>
      <c r="U46" s="21"/>
      <c r="V46" s="22"/>
      <c r="W46" s="20"/>
      <c r="X46" s="21"/>
      <c r="Y46" s="22"/>
      <c r="Z46" s="20"/>
    </row>
    <row r="47" spans="1:27" x14ac:dyDescent="0.25">
      <c r="A47" s="22"/>
      <c r="B47" s="27"/>
      <c r="C47" s="21"/>
      <c r="D47" s="22"/>
      <c r="E47" s="20"/>
      <c r="F47" s="21"/>
      <c r="G47" s="22"/>
      <c r="H47" s="20"/>
      <c r="I47" s="21"/>
      <c r="J47" s="22"/>
      <c r="K47" s="20"/>
      <c r="L47" s="20"/>
      <c r="M47" s="20"/>
      <c r="N47" s="20"/>
      <c r="O47" s="20"/>
      <c r="P47" s="23"/>
      <c r="Q47" s="20"/>
      <c r="R47" s="20"/>
      <c r="S47" s="20"/>
      <c r="T47" s="20"/>
      <c r="U47" s="21"/>
      <c r="V47" s="22"/>
      <c r="W47" s="20"/>
      <c r="X47" s="21"/>
      <c r="Y47" s="22"/>
      <c r="Z47" s="20"/>
    </row>
    <row r="48" spans="1:27" x14ac:dyDescent="0.25">
      <c r="A48" s="22"/>
      <c r="B48" s="21"/>
      <c r="C48" s="21"/>
      <c r="D48" s="22"/>
      <c r="E48" s="20"/>
      <c r="F48" s="21"/>
      <c r="G48" s="22"/>
      <c r="H48" s="20"/>
      <c r="I48" s="21"/>
      <c r="J48" s="22"/>
      <c r="K48" s="20"/>
      <c r="L48" s="20"/>
      <c r="M48" s="20"/>
      <c r="N48" s="20"/>
      <c r="O48" s="20"/>
      <c r="P48" s="23"/>
      <c r="Q48" s="20"/>
      <c r="R48" s="20"/>
      <c r="S48" s="20"/>
      <c r="T48" s="20"/>
      <c r="U48" s="21"/>
      <c r="V48" s="22"/>
      <c r="W48" s="20"/>
      <c r="X48" s="21"/>
      <c r="Y48" s="22"/>
      <c r="Z48" s="20"/>
    </row>
    <row r="49" spans="1:26" x14ac:dyDescent="0.25">
      <c r="A49" s="22"/>
      <c r="B49" s="21"/>
      <c r="C49" s="21"/>
      <c r="D49" s="22"/>
      <c r="E49" s="20"/>
      <c r="F49" s="21"/>
      <c r="G49" s="22"/>
      <c r="H49" s="20"/>
      <c r="I49" s="21"/>
      <c r="J49" s="22"/>
      <c r="K49" s="20"/>
      <c r="L49" s="20"/>
      <c r="M49" s="20"/>
      <c r="N49" s="20"/>
      <c r="O49" s="20"/>
      <c r="P49" s="23"/>
      <c r="Q49" s="20"/>
      <c r="R49" s="20"/>
      <c r="S49" s="20"/>
      <c r="T49" s="20"/>
      <c r="U49" s="21"/>
      <c r="V49" s="22"/>
      <c r="W49" s="20"/>
      <c r="X49" s="21"/>
      <c r="Y49" s="22"/>
      <c r="Z49" s="20"/>
    </row>
    <row r="50" spans="1:26" x14ac:dyDescent="0.25">
      <c r="A50" s="22"/>
      <c r="B50" s="21"/>
      <c r="C50" s="21"/>
      <c r="D50" s="22"/>
      <c r="E50" s="20"/>
      <c r="F50" s="21"/>
      <c r="G50" s="21"/>
      <c r="H50" s="21"/>
      <c r="I50" s="21"/>
      <c r="J50" s="22"/>
      <c r="K50" s="24"/>
      <c r="L50" s="20"/>
      <c r="M50" s="20"/>
      <c r="N50" s="20"/>
      <c r="O50" s="20"/>
      <c r="P50" s="23"/>
      <c r="Q50" s="20"/>
      <c r="R50" s="20"/>
      <c r="S50" s="20"/>
      <c r="T50" s="20"/>
      <c r="U50" s="21"/>
      <c r="V50" s="22"/>
      <c r="W50" s="20"/>
      <c r="X50" s="21"/>
      <c r="Y50" s="22"/>
      <c r="Z50" s="20"/>
    </row>
    <row r="51" spans="1:26" x14ac:dyDescent="0.25">
      <c r="A51" s="22"/>
      <c r="B51" s="21"/>
      <c r="C51" s="21"/>
      <c r="D51" s="22"/>
      <c r="E51" s="20"/>
      <c r="F51" s="21"/>
      <c r="G51" s="22"/>
      <c r="H51" s="20"/>
      <c r="I51" s="21"/>
      <c r="J51" s="22"/>
      <c r="K51" s="20"/>
      <c r="L51" s="20"/>
      <c r="M51" s="20"/>
      <c r="N51" s="20"/>
      <c r="O51" s="20"/>
      <c r="P51" s="23"/>
      <c r="Q51" s="20"/>
      <c r="R51" s="20"/>
      <c r="S51" s="20"/>
      <c r="T51" s="20"/>
      <c r="U51" s="21"/>
      <c r="V51" s="22"/>
      <c r="W51" s="20"/>
      <c r="X51" s="21"/>
      <c r="Y51" s="22"/>
      <c r="Z51" s="20"/>
    </row>
    <row r="52" spans="1:26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6" x14ac:dyDescent="0.25">
      <c r="A53" s="22"/>
      <c r="B53" s="21"/>
      <c r="C53" s="21"/>
      <c r="D53" s="22"/>
      <c r="E53" s="20"/>
      <c r="F53" s="21"/>
      <c r="G53" s="22"/>
      <c r="H53" s="20"/>
      <c r="I53" s="21"/>
      <c r="J53" s="22"/>
      <c r="K53" s="20"/>
      <c r="L53" s="20"/>
      <c r="M53" s="20"/>
      <c r="N53" s="20"/>
      <c r="O53" s="20"/>
      <c r="P53" s="23"/>
      <c r="Q53" s="20"/>
      <c r="R53" s="20"/>
      <c r="S53" s="20"/>
      <c r="T53" s="20"/>
      <c r="U53" s="21"/>
      <c r="V53" s="25"/>
      <c r="W53" s="20"/>
      <c r="X53" s="21"/>
      <c r="Y53" s="22"/>
      <c r="Z53" s="20"/>
    </row>
    <row r="54" spans="1:26" x14ac:dyDescent="0.25">
      <c r="A54" s="22"/>
      <c r="B54" s="21"/>
      <c r="C54" s="21"/>
      <c r="D54" s="22"/>
      <c r="E54" s="20"/>
      <c r="F54" s="21"/>
      <c r="G54" s="22"/>
      <c r="H54" s="20"/>
      <c r="I54" s="21"/>
      <c r="J54" s="22"/>
      <c r="K54" s="20"/>
      <c r="L54" s="20"/>
      <c r="M54" s="20"/>
      <c r="N54" s="20"/>
      <c r="O54" s="20"/>
      <c r="P54" s="23"/>
      <c r="Q54" s="20"/>
      <c r="R54" s="20"/>
      <c r="S54" s="20"/>
      <c r="T54" s="20"/>
      <c r="U54" s="21"/>
      <c r="V54" s="25"/>
      <c r="W54" s="20"/>
      <c r="X54" s="21"/>
      <c r="Y54" s="22"/>
      <c r="Z54" s="20"/>
    </row>
    <row r="55" spans="1:26" x14ac:dyDescent="0.25">
      <c r="A55" s="22"/>
      <c r="B55" s="21"/>
      <c r="C55" s="21"/>
      <c r="D55" s="22"/>
      <c r="E55" s="20"/>
      <c r="F55" s="21"/>
      <c r="G55" s="22"/>
      <c r="H55" s="20"/>
      <c r="I55" s="21"/>
      <c r="J55" s="22"/>
      <c r="K55" s="20"/>
      <c r="L55" s="20"/>
      <c r="M55" s="20"/>
      <c r="N55" s="20"/>
      <c r="O55" s="20"/>
      <c r="P55" s="23"/>
      <c r="Q55" s="20"/>
      <c r="R55" s="20"/>
      <c r="S55" s="20"/>
      <c r="T55" s="20"/>
      <c r="U55" s="21"/>
      <c r="V55" s="22"/>
      <c r="W55" s="20"/>
      <c r="X55" s="21"/>
      <c r="Y55" s="22"/>
      <c r="Z55" s="20"/>
    </row>
    <row r="56" spans="1:26" x14ac:dyDescent="0.25">
      <c r="C56" s="21"/>
      <c r="D56" s="22"/>
      <c r="E56" s="20"/>
      <c r="F56" s="21"/>
      <c r="G56" s="22"/>
      <c r="H56" s="20"/>
      <c r="I56" s="21"/>
      <c r="J56" s="22"/>
      <c r="K56" s="20"/>
      <c r="L56" s="21"/>
      <c r="M56" s="21"/>
      <c r="N56" s="20"/>
      <c r="O56" s="22"/>
      <c r="P56" s="22"/>
      <c r="Q56" s="20"/>
      <c r="R56" s="22"/>
      <c r="S56" s="22"/>
      <c r="T56" s="22"/>
      <c r="U56" s="21"/>
      <c r="V56" s="22"/>
      <c r="W56" s="20"/>
      <c r="X56" s="21"/>
      <c r="Y56" s="22"/>
      <c r="Z56" s="20"/>
    </row>
  </sheetData>
  <mergeCells count="13">
    <mergeCell ref="A1:AA1"/>
    <mergeCell ref="A36:Z36"/>
    <mergeCell ref="A21:B21"/>
    <mergeCell ref="U2:W2"/>
    <mergeCell ref="A2:A3"/>
    <mergeCell ref="B2:B3"/>
    <mergeCell ref="C2:E2"/>
    <mergeCell ref="F2:H2"/>
    <mergeCell ref="I2:K2"/>
    <mergeCell ref="L2:N2"/>
    <mergeCell ref="O2:Q2"/>
    <mergeCell ref="R2:T2"/>
    <mergeCell ref="X2:AA2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OPEN LINE FR</vt:lpstr>
      <vt:lpstr>Sheet2</vt:lpstr>
      <vt:lpstr>Sheet1</vt:lpstr>
      <vt:lpstr>Sheet3</vt:lpstr>
      <vt:lpstr>GSU FR</vt:lpstr>
      <vt:lpstr>'OPEN LINE FR'!Print_Area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Ankur Sagar SSO</cp:lastModifiedBy>
  <cp:lastPrinted>2026-06-10T07:06:59Z</cp:lastPrinted>
  <dcterms:created xsi:type="dcterms:W3CDTF">2020-11-02T10:22:09Z</dcterms:created>
  <dcterms:modified xsi:type="dcterms:W3CDTF">2026-06-11T10:39:20Z</dcterms:modified>
</cp:coreProperties>
</file>