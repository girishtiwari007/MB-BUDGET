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R\"/>
    </mc:Choice>
  </mc:AlternateContent>
  <bookViews>
    <workbookView xWindow="0" yWindow="0" windowWidth="28800" windowHeight="12315"/>
  </bookViews>
  <sheets>
    <sheet name="OPEN LINE FR" sheetId="1" r:id="rId1"/>
    <sheet name="GSU FR" sheetId="2" r:id="rId2"/>
  </sheets>
  <definedNames>
    <definedName name="_xlnm.Print_Area" localSheetId="0">'OPEN LINE FR'!$A$1:$Z$25</definedName>
  </definedNames>
  <calcPr calcId="152511"/>
</workbook>
</file>

<file path=xl/calcChain.xml><?xml version="1.0" encoding="utf-8"?>
<calcChain xmlns="http://schemas.openxmlformats.org/spreadsheetml/2006/main">
  <c r="X5" i="2" l="1"/>
  <c r="X6" i="2"/>
  <c r="X7" i="2"/>
  <c r="X8" i="2"/>
  <c r="Z8" i="2" s="1"/>
  <c r="X9" i="2"/>
  <c r="Z9" i="2" s="1"/>
  <c r="X10" i="2"/>
  <c r="Z10" i="2" s="1"/>
  <c r="X11" i="2"/>
  <c r="AA11" i="2" s="1"/>
  <c r="X12" i="2"/>
  <c r="AA12" i="2" s="1"/>
  <c r="X13" i="2"/>
  <c r="AA13" i="2" s="1"/>
  <c r="X14" i="2"/>
  <c r="X15" i="2"/>
  <c r="Z15" i="2" s="1"/>
  <c r="X16" i="2"/>
  <c r="X17" i="2"/>
  <c r="AA17" i="2" s="1"/>
  <c r="X18" i="2"/>
  <c r="AA18" i="2" s="1"/>
  <c r="X19" i="2"/>
  <c r="AA19" i="2" s="1"/>
  <c r="X20" i="2"/>
  <c r="AA20" i="2" s="1"/>
  <c r="X21" i="2"/>
  <c r="Z5" i="2"/>
  <c r="Z6" i="2"/>
  <c r="AA4" i="2"/>
  <c r="AA5" i="2"/>
  <c r="AA6" i="2"/>
  <c r="AA8" i="2"/>
  <c r="AA9" i="2"/>
  <c r="AA10" i="2"/>
  <c r="M49" i="2"/>
  <c r="Y5" i="2"/>
  <c r="Y6" i="2"/>
  <c r="Y7" i="2"/>
  <c r="Z7" i="2" s="1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Z12" i="1"/>
  <c r="Z17" i="1"/>
  <c r="Z19" i="1"/>
  <c r="Z20" i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Y13" i="1"/>
  <c r="Z13" i="1" s="1"/>
  <c r="Y14" i="1"/>
  <c r="Z14" i="1" s="1"/>
  <c r="Y15" i="1"/>
  <c r="Z15" i="1" s="1"/>
  <c r="Y16" i="1"/>
  <c r="Z16" i="1" s="1"/>
  <c r="Y17" i="1"/>
  <c r="Y18" i="1"/>
  <c r="Z18" i="1" s="1"/>
  <c r="Y19" i="1"/>
  <c r="Y20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Z14" i="2" l="1"/>
  <c r="Z16" i="2"/>
  <c r="Z20" i="2"/>
  <c r="Z19" i="2"/>
  <c r="Z18" i="2"/>
  <c r="Z17" i="2"/>
  <c r="AA16" i="2"/>
  <c r="Z13" i="2"/>
  <c r="AA15" i="2"/>
  <c r="Z12" i="2"/>
  <c r="AA14" i="2"/>
  <c r="Z11" i="2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E4" i="1"/>
  <c r="P21" i="1" l="1"/>
  <c r="Y4" i="2" l="1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E11" i="2"/>
  <c r="E12" i="2"/>
  <c r="E13" i="2"/>
  <c r="E14" i="2"/>
  <c r="E15" i="2"/>
  <c r="E16" i="2"/>
  <c r="E17" i="2"/>
  <c r="E18" i="2"/>
  <c r="E19" i="2"/>
  <c r="E20" i="2"/>
  <c r="E5" i="2"/>
  <c r="E6" i="2"/>
  <c r="E7" i="2"/>
  <c r="E8" i="2"/>
  <c r="E9" i="2"/>
  <c r="E10" i="2"/>
  <c r="C21" i="1" l="1"/>
  <c r="T5" i="1" l="1"/>
  <c r="T6" i="1"/>
  <c r="T7" i="1"/>
  <c r="T4" i="1"/>
  <c r="T17" i="1"/>
  <c r="T18" i="1"/>
  <c r="T19" i="1"/>
  <c r="T20" i="1"/>
  <c r="T15" i="1"/>
  <c r="T9" i="1"/>
  <c r="T10" i="1"/>
  <c r="T11" i="1"/>
  <c r="T12" i="1"/>
  <c r="T13" i="1"/>
  <c r="N17" i="2"/>
  <c r="N18" i="2"/>
  <c r="N19" i="2"/>
  <c r="N20" i="2"/>
  <c r="N6" i="2"/>
  <c r="N7" i="2"/>
  <c r="N8" i="2"/>
  <c r="N9" i="2"/>
  <c r="N10" i="2"/>
  <c r="N11" i="2"/>
  <c r="N12" i="2"/>
  <c r="N13" i="2"/>
  <c r="N14" i="2"/>
  <c r="N15" i="2"/>
  <c r="N5" i="2"/>
  <c r="K9" i="2"/>
  <c r="K5" i="2"/>
  <c r="K6" i="2"/>
  <c r="K7" i="2"/>
  <c r="H7" i="2"/>
  <c r="H17" i="2"/>
  <c r="H19" i="2"/>
  <c r="K19" i="2"/>
  <c r="T17" i="2" l="1"/>
  <c r="T18" i="2"/>
  <c r="T19" i="2"/>
  <c r="T20" i="2"/>
  <c r="T15" i="2"/>
  <c r="T9" i="2"/>
  <c r="T10" i="2"/>
  <c r="T11" i="2"/>
  <c r="T12" i="2"/>
  <c r="T13" i="2"/>
  <c r="T5" i="2"/>
  <c r="T6" i="2"/>
  <c r="T7" i="2"/>
  <c r="T4" i="2"/>
  <c r="W5" i="2"/>
  <c r="V21" i="2"/>
  <c r="U21" i="2"/>
  <c r="S21" i="2"/>
  <c r="P21" i="2"/>
  <c r="O21" i="2"/>
  <c r="M21" i="2"/>
  <c r="L21" i="2"/>
  <c r="J21" i="2"/>
  <c r="I21" i="2"/>
  <c r="G21" i="2"/>
  <c r="F21" i="2"/>
  <c r="D21" i="2"/>
  <c r="C21" i="2"/>
  <c r="Q20" i="2"/>
  <c r="Q19" i="2"/>
  <c r="Q18" i="2"/>
  <c r="K18" i="2"/>
  <c r="H18" i="2"/>
  <c r="Q17" i="2"/>
  <c r="K17" i="2"/>
  <c r="T16" i="2"/>
  <c r="Q16" i="2"/>
  <c r="N16" i="2"/>
  <c r="K16" i="2"/>
  <c r="H16" i="2"/>
  <c r="K15" i="2"/>
  <c r="H15" i="2"/>
  <c r="T14" i="2"/>
  <c r="Q14" i="2"/>
  <c r="K14" i="2"/>
  <c r="H14" i="2"/>
  <c r="Q13" i="2"/>
  <c r="K13" i="2"/>
  <c r="Q12" i="2"/>
  <c r="K12" i="2"/>
  <c r="H12" i="2"/>
  <c r="Q11" i="2"/>
  <c r="K11" i="2"/>
  <c r="H11" i="2"/>
  <c r="Q10" i="2"/>
  <c r="K10" i="2"/>
  <c r="H10" i="2"/>
  <c r="Q9" i="2"/>
  <c r="H9" i="2"/>
  <c r="T8" i="2"/>
  <c r="Q8" i="2"/>
  <c r="K8" i="2"/>
  <c r="H8" i="2"/>
  <c r="W7" i="2"/>
  <c r="Q7" i="2"/>
  <c r="W6" i="2"/>
  <c r="Q6" i="2"/>
  <c r="H6" i="2"/>
  <c r="Q5" i="2"/>
  <c r="H5" i="2"/>
  <c r="X4" i="2"/>
  <c r="W4" i="2"/>
  <c r="Q4" i="2"/>
  <c r="N4" i="2"/>
  <c r="K4" i="2"/>
  <c r="H4" i="2"/>
  <c r="E4" i="2"/>
  <c r="Y21" i="2" l="1"/>
  <c r="AA21" i="2" s="1"/>
  <c r="AA7" i="2"/>
  <c r="H21" i="2"/>
  <c r="K21" i="2"/>
  <c r="W21" i="2"/>
  <c r="E21" i="2"/>
  <c r="Q21" i="2"/>
  <c r="T21" i="2"/>
  <c r="N21" i="2"/>
  <c r="Z4" i="2"/>
  <c r="Z21" i="2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H4" i="1"/>
  <c r="W4" i="1"/>
  <c r="AA15" i="1" l="1"/>
  <c r="V21" i="1"/>
  <c r="S21" i="1"/>
  <c r="R21" i="1"/>
  <c r="M21" i="1"/>
  <c r="L21" i="1"/>
  <c r="G21" i="1"/>
  <c r="H21" i="1" s="1"/>
  <c r="F21" i="1"/>
  <c r="D21" i="1"/>
  <c r="T16" i="1"/>
  <c r="T14" i="1"/>
  <c r="AA10" i="1"/>
  <c r="T8" i="1"/>
  <c r="O21" i="1"/>
  <c r="Q21" i="1" s="1"/>
  <c r="Y4" i="1"/>
  <c r="X4" i="1"/>
  <c r="Q4" i="1"/>
  <c r="N4" i="1"/>
  <c r="K4" i="1"/>
  <c r="Z4" i="1" l="1"/>
  <c r="E21" i="1"/>
  <c r="AA19" i="1"/>
  <c r="AA12" i="1"/>
  <c r="AA18" i="1"/>
  <c r="AA17" i="1"/>
  <c r="AA14" i="1"/>
  <c r="AA13" i="1"/>
  <c r="AA11" i="1"/>
  <c r="AA5" i="1"/>
  <c r="AA4" i="1"/>
  <c r="AA20" i="1"/>
  <c r="N21" i="1"/>
  <c r="T21" i="1"/>
  <c r="AA7" i="1"/>
  <c r="I21" i="1"/>
  <c r="U21" i="1"/>
  <c r="W21" i="1" s="1"/>
  <c r="AA9" i="1" l="1"/>
  <c r="AA6" i="1"/>
  <c r="AA8" i="1"/>
  <c r="AA16" i="1"/>
  <c r="J21" i="1"/>
  <c r="Y21" i="1" s="1"/>
  <c r="Z21" i="1" s="1"/>
  <c r="K21" i="1" l="1"/>
  <c r="AA21" i="1"/>
</calcChain>
</file>

<file path=xl/sharedStrings.xml><?xml version="1.0" encoding="utf-8"?>
<sst xmlns="http://schemas.openxmlformats.org/spreadsheetml/2006/main" count="121" uniqueCount="48">
  <si>
    <t>Plan Head</t>
  </si>
  <si>
    <t>Traffic facility</t>
  </si>
  <si>
    <t>Computerization</t>
  </si>
  <si>
    <t>Level crossing</t>
  </si>
  <si>
    <t>Road over/under Bridge</t>
  </si>
  <si>
    <t>Track renewal</t>
  </si>
  <si>
    <t>Bridge work</t>
  </si>
  <si>
    <t>S&amp;T</t>
  </si>
  <si>
    <t>Other electric works</t>
  </si>
  <si>
    <t>Traction Dist. works</t>
  </si>
  <si>
    <t>Machine and plants</t>
  </si>
  <si>
    <t>Workshop</t>
  </si>
  <si>
    <t>Inv. In Govt. comm Public Un.</t>
  </si>
  <si>
    <t>Other specified works</t>
  </si>
  <si>
    <t>OSW (nirbhaya Fund)</t>
  </si>
  <si>
    <t>Training/HRD</t>
  </si>
  <si>
    <t>Total</t>
  </si>
  <si>
    <t>Plan head Name</t>
  </si>
  <si>
    <t>CAP</t>
  </si>
  <si>
    <t>DRF</t>
  </si>
  <si>
    <t>DF</t>
  </si>
  <si>
    <t>RRSK</t>
  </si>
  <si>
    <t>TOTAL</t>
  </si>
  <si>
    <t>AE</t>
  </si>
  <si>
    <t xml:space="preserve">VAR </t>
  </si>
  <si>
    <t>Copy Forwarded to :-</t>
  </si>
  <si>
    <t>1. Sr. DEN (C )</t>
  </si>
  <si>
    <t>For Sr.Divisional Finance Manager</t>
  </si>
  <si>
    <t>2. Sr. DEE (G &amp; TRD)</t>
  </si>
  <si>
    <t>Northern Railway, Moradabad</t>
  </si>
  <si>
    <t>VAR</t>
  </si>
  <si>
    <t>CAPITAL FUND</t>
  </si>
  <si>
    <t>S FUND</t>
  </si>
  <si>
    <t>EBR-(S)</t>
  </si>
  <si>
    <t>Customer(Passenger) amenities</t>
  </si>
  <si>
    <t>Staff Welfare</t>
  </si>
  <si>
    <t>`</t>
  </si>
  <si>
    <t>% VAR</t>
  </si>
  <si>
    <t xml:space="preserve">Traffic facility </t>
  </si>
  <si>
    <t>PH-16</t>
  </si>
  <si>
    <t xml:space="preserve">                                 </t>
  </si>
  <si>
    <t>SBA</t>
  </si>
  <si>
    <t>OSW (CAPIN)</t>
  </si>
  <si>
    <t>SBA (2026-27)</t>
  </si>
  <si>
    <t>SBA 2025-26</t>
  </si>
  <si>
    <t>SBA 2026-27</t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</si>
  <si>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>Actual.  Expenditure of Demand 16 GSU as on  17.08.2026  (Fig.in Thousand)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</si>
  <si>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</t>
    </r>
    <r>
      <rPr>
        <b/>
        <u/>
        <sz val="11"/>
        <color theme="1"/>
        <rFont val="Calibri"/>
        <family val="2"/>
        <scheme val="minor"/>
      </rPr>
      <t xml:space="preserve">Actual.  Expenditure of Demand 16 upto as on  17.08.2026  (Fig.in Thousand) </t>
    </r>
    <r>
      <rPr>
        <b/>
        <sz val="11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</si>
</sst>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65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  <xf numFmtId="0" fontId="1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1" fillId="2" borderId="1" xfId="1" applyNumberFormat="1" applyFont="1" applyFill="1" applyBorder="1" applyAlignment="1">
      <alignment horizontal="center" vertical="center"/>
    </xf>
    <xf numFmtId="0" fontId="2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NumberFormat="1" applyFont="1" applyBorder="1" applyAlignment="1">
      <alignment horizontal="center" vertical="center"/>
    </xf>
    <xf numFmtId="0" fontId="2" fillId="0" borderId="0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10" fillId="0" borderId="0" xfId="0" applyFont="1"/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065"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Normal" xfId="0" builtinId="0"/>
    <cellStyle name="Normal 2" xfId="2"/>
    <cellStyle name="Normal 2 2" xfId="3"/>
    <cellStyle name="Normal 3" xfId="4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T57"/>
  <sheetViews>
    <sheetView tabSelected="1" zoomScale="85" zoomScaleNormal="85" workbookViewId="0">
      <selection activeCell="AC19" sqref="AC19"/>
    </sheetView>
  </sheetViews>
  <sheetFormatPr defaultRowHeight="15" x14ac:dyDescent="0.25"/>
  <cols>
    <col min="1" max="1" width="7" customWidth="1"/>
    <col min="2" max="2" width="23.5703125" customWidth="1"/>
    <col min="3" max="3" width="9.28515625" customWidth="1"/>
    <col min="4" max="4" width="8.28515625" customWidth="1"/>
    <col min="5" max="5" width="9.140625" customWidth="1"/>
    <col min="6" max="6" width="7.7109375" customWidth="1"/>
    <col min="7" max="7" width="7" customWidth="1"/>
    <col min="8" max="8" width="8" customWidth="1"/>
    <col min="9" max="10" width="8.140625" customWidth="1"/>
    <col min="11" max="11" width="8.5703125" customWidth="1"/>
    <col min="12" max="12" width="6.7109375" customWidth="1"/>
    <col min="13" max="13" width="6.5703125" customWidth="1"/>
    <col min="14" max="14" width="7.140625" customWidth="1"/>
    <col min="15" max="16" width="9" customWidth="1"/>
    <col min="17" max="17" width="9.5703125" customWidth="1"/>
    <col min="18" max="18" width="5.28515625" customWidth="1"/>
    <col min="19" max="19" width="5.7109375" customWidth="1"/>
    <col min="20" max="20" width="6.42578125" customWidth="1"/>
    <col min="21" max="21" width="9.140625" customWidth="1"/>
    <col min="22" max="23" width="9.42578125" customWidth="1"/>
    <col min="24" max="24" width="9.85546875" customWidth="1"/>
    <col min="25" max="25" width="9.28515625" customWidth="1"/>
    <col min="26" max="26" width="10.42578125" customWidth="1"/>
    <col min="27" max="27" width="12.28515625" bestFit="1" customWidth="1"/>
  </cols>
  <sheetData>
    <row r="1" spans="1:244" ht="18" customHeight="1" x14ac:dyDescent="0.25">
      <c r="A1" s="44" t="s">
        <v>47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 spans="1:244" ht="32.25" customHeight="1" x14ac:dyDescent="0.25">
      <c r="A2" s="49" t="s">
        <v>0</v>
      </c>
      <c r="B2" s="49" t="s">
        <v>17</v>
      </c>
      <c r="C2" s="46" t="s">
        <v>18</v>
      </c>
      <c r="D2" s="48"/>
      <c r="E2" s="47"/>
      <c r="F2" s="46" t="s">
        <v>19</v>
      </c>
      <c r="G2" s="48"/>
      <c r="H2" s="47"/>
      <c r="I2" s="46" t="s">
        <v>20</v>
      </c>
      <c r="J2" s="48"/>
      <c r="K2" s="47"/>
      <c r="L2" s="46" t="s">
        <v>31</v>
      </c>
      <c r="M2" s="48"/>
      <c r="N2" s="47"/>
      <c r="O2" s="46" t="s">
        <v>32</v>
      </c>
      <c r="P2" s="48"/>
      <c r="Q2" s="47"/>
      <c r="R2" s="46" t="s">
        <v>33</v>
      </c>
      <c r="S2" s="48"/>
      <c r="T2" s="47"/>
      <c r="U2" s="46" t="s">
        <v>21</v>
      </c>
      <c r="V2" s="48"/>
      <c r="W2" s="47"/>
      <c r="X2" s="43" t="s">
        <v>22</v>
      </c>
      <c r="Y2" s="43"/>
      <c r="Z2" s="43"/>
      <c r="AA2" s="43"/>
    </row>
    <row r="3" spans="1:244" ht="32.25" customHeight="1" x14ac:dyDescent="0.25">
      <c r="A3" s="50"/>
      <c r="B3" s="50"/>
      <c r="C3" s="41" t="s">
        <v>43</v>
      </c>
      <c r="D3" s="5" t="s">
        <v>23</v>
      </c>
      <c r="E3" s="2" t="s">
        <v>24</v>
      </c>
      <c r="F3" s="41" t="s">
        <v>41</v>
      </c>
      <c r="G3" s="5" t="s">
        <v>23</v>
      </c>
      <c r="H3" s="2" t="s">
        <v>24</v>
      </c>
      <c r="I3" s="41" t="s">
        <v>41</v>
      </c>
      <c r="J3" s="5" t="s">
        <v>23</v>
      </c>
      <c r="K3" s="2" t="s">
        <v>24</v>
      </c>
      <c r="L3" s="41" t="s">
        <v>41</v>
      </c>
      <c r="M3" s="5" t="s">
        <v>23</v>
      </c>
      <c r="N3" s="2" t="s">
        <v>24</v>
      </c>
      <c r="O3" s="41" t="s">
        <v>41</v>
      </c>
      <c r="P3" s="5" t="s">
        <v>23</v>
      </c>
      <c r="Q3" s="2" t="s">
        <v>24</v>
      </c>
      <c r="R3" s="41" t="s">
        <v>41</v>
      </c>
      <c r="S3" s="2" t="s">
        <v>23</v>
      </c>
      <c r="T3" s="2" t="s">
        <v>30</v>
      </c>
      <c r="U3" s="41" t="s">
        <v>41</v>
      </c>
      <c r="V3" s="5" t="s">
        <v>23</v>
      </c>
      <c r="W3" s="2" t="s">
        <v>24</v>
      </c>
      <c r="X3" s="41" t="s">
        <v>41</v>
      </c>
      <c r="Y3" s="5" t="s">
        <v>23</v>
      </c>
      <c r="Z3" s="2" t="s">
        <v>24</v>
      </c>
      <c r="AA3" s="5" t="s">
        <v>37</v>
      </c>
    </row>
    <row r="4" spans="1:244" s="4" customFormat="1" ht="32.25" customHeight="1" x14ac:dyDescent="0.25">
      <c r="A4" s="3">
        <v>1600</v>
      </c>
      <c r="B4" s="11" t="s">
        <v>1</v>
      </c>
      <c r="C4" s="12">
        <v>146190</v>
      </c>
      <c r="D4" s="13">
        <v>76470</v>
      </c>
      <c r="E4" s="14">
        <f>D4-C4</f>
        <v>-69720</v>
      </c>
      <c r="F4" s="11">
        <v>0</v>
      </c>
      <c r="G4" s="3">
        <v>0</v>
      </c>
      <c r="H4" s="14">
        <f t="shared" ref="H4:H21" si="0">G4-F4</f>
        <v>0</v>
      </c>
      <c r="I4" s="11">
        <v>0</v>
      </c>
      <c r="J4" s="3">
        <v>694</v>
      </c>
      <c r="K4" s="14">
        <f>J4-I4</f>
        <v>694</v>
      </c>
      <c r="L4" s="14">
        <v>0</v>
      </c>
      <c r="M4" s="14">
        <v>0</v>
      </c>
      <c r="N4" s="14">
        <f>M4-L4</f>
        <v>0</v>
      </c>
      <c r="O4" s="14">
        <v>0</v>
      </c>
      <c r="P4" s="15">
        <v>0</v>
      </c>
      <c r="Q4" s="14">
        <f>P4-O4</f>
        <v>0</v>
      </c>
      <c r="R4" s="14">
        <v>0</v>
      </c>
      <c r="S4" s="14">
        <v>0</v>
      </c>
      <c r="T4" s="7">
        <f t="shared" ref="T4:T7" si="1">S4-R4</f>
        <v>0</v>
      </c>
      <c r="U4" s="12">
        <v>14713</v>
      </c>
      <c r="V4" s="13">
        <v>0</v>
      </c>
      <c r="W4" s="14">
        <f t="shared" ref="W4:W21" si="2">V4-U4</f>
        <v>-14713</v>
      </c>
      <c r="X4" s="12">
        <f t="shared" ref="X4:Y19" si="3">C4+F4+I4+L4+O4+U4+R4</f>
        <v>160903</v>
      </c>
      <c r="Y4" s="13">
        <f t="shared" si="3"/>
        <v>77164</v>
      </c>
      <c r="Z4" s="14">
        <f>Y4-X4</f>
        <v>-83739</v>
      </c>
      <c r="AA4" s="6">
        <f>Y4/X4*100</f>
        <v>47.956843564134914</v>
      </c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</row>
    <row r="5" spans="1:244" ht="32.25" customHeight="1" x14ac:dyDescent="0.25">
      <c r="A5" s="1">
        <v>1700</v>
      </c>
      <c r="B5" s="2" t="s">
        <v>2</v>
      </c>
      <c r="C5" s="2">
        <v>4107</v>
      </c>
      <c r="D5" s="6">
        <v>5001</v>
      </c>
      <c r="E5" s="14">
        <f t="shared" ref="E5:E21" si="4">D5-C5</f>
        <v>894</v>
      </c>
      <c r="F5" s="5">
        <v>14120</v>
      </c>
      <c r="G5" s="1">
        <v>864</v>
      </c>
      <c r="H5" s="14">
        <f t="shared" si="0"/>
        <v>-13256</v>
      </c>
      <c r="I5" s="5">
        <v>14000</v>
      </c>
      <c r="J5" s="6">
        <v>2587</v>
      </c>
      <c r="K5" s="14">
        <f t="shared" ref="K5:K21" si="5">J5-I5</f>
        <v>-11413</v>
      </c>
      <c r="L5" s="14">
        <v>0</v>
      </c>
      <c r="M5" s="14">
        <v>0</v>
      </c>
      <c r="N5" s="7">
        <f t="shared" ref="N5:N21" si="6">M5-L5</f>
        <v>0</v>
      </c>
      <c r="O5" s="7">
        <v>0</v>
      </c>
      <c r="P5" s="8">
        <v>0</v>
      </c>
      <c r="Q5" s="14">
        <f t="shared" ref="Q5:Q21" si="7">P5-O5</f>
        <v>0</v>
      </c>
      <c r="R5" s="7">
        <v>0</v>
      </c>
      <c r="S5" s="7">
        <v>0</v>
      </c>
      <c r="T5" s="7">
        <f t="shared" si="1"/>
        <v>0</v>
      </c>
      <c r="U5" s="5">
        <v>0</v>
      </c>
      <c r="V5" s="6">
        <v>0</v>
      </c>
      <c r="W5" s="14">
        <f t="shared" si="2"/>
        <v>0</v>
      </c>
      <c r="X5" s="12">
        <f t="shared" si="3"/>
        <v>32227</v>
      </c>
      <c r="Y5" s="13">
        <f t="shared" si="3"/>
        <v>8452</v>
      </c>
      <c r="Z5" s="14">
        <f t="shared" ref="Z5:Z21" si="8">Y5-X5</f>
        <v>-23775</v>
      </c>
      <c r="AA5" s="6">
        <f t="shared" ref="AA5:AA20" si="9">Y5/X5*100</f>
        <v>26.226456077202347</v>
      </c>
    </row>
    <row r="6" spans="1:244" ht="32.25" customHeight="1" x14ac:dyDescent="0.25">
      <c r="A6" s="1">
        <v>2900</v>
      </c>
      <c r="B6" s="2" t="s">
        <v>3</v>
      </c>
      <c r="C6" s="2">
        <v>0</v>
      </c>
      <c r="D6" s="6">
        <v>0</v>
      </c>
      <c r="E6" s="14">
        <f t="shared" si="4"/>
        <v>0</v>
      </c>
      <c r="F6" s="5">
        <v>0</v>
      </c>
      <c r="G6" s="6">
        <v>0</v>
      </c>
      <c r="H6" s="14">
        <f t="shared" si="0"/>
        <v>0</v>
      </c>
      <c r="I6" s="5">
        <v>0</v>
      </c>
      <c r="J6" s="6">
        <v>0</v>
      </c>
      <c r="K6" s="14">
        <f t="shared" si="5"/>
        <v>0</v>
      </c>
      <c r="L6" s="7">
        <v>0</v>
      </c>
      <c r="M6" s="14">
        <v>0</v>
      </c>
      <c r="N6" s="7">
        <f t="shared" si="6"/>
        <v>0</v>
      </c>
      <c r="O6" s="7">
        <v>120318</v>
      </c>
      <c r="P6" s="8">
        <v>55924</v>
      </c>
      <c r="Q6" s="14">
        <f t="shared" si="7"/>
        <v>-64394</v>
      </c>
      <c r="R6" s="14">
        <v>0</v>
      </c>
      <c r="S6" s="14">
        <v>0</v>
      </c>
      <c r="T6" s="7">
        <f t="shared" si="1"/>
        <v>0</v>
      </c>
      <c r="U6" s="5">
        <v>0</v>
      </c>
      <c r="V6" s="6">
        <v>0</v>
      </c>
      <c r="W6" s="14">
        <f t="shared" si="2"/>
        <v>0</v>
      </c>
      <c r="X6" s="12">
        <f t="shared" si="3"/>
        <v>120318</v>
      </c>
      <c r="Y6" s="13">
        <f t="shared" si="3"/>
        <v>55924</v>
      </c>
      <c r="Z6" s="14">
        <f t="shared" si="8"/>
        <v>-64394</v>
      </c>
      <c r="AA6" s="6">
        <f t="shared" si="9"/>
        <v>46.480160906929967</v>
      </c>
    </row>
    <row r="7" spans="1:244" ht="32.25" customHeight="1" x14ac:dyDescent="0.25">
      <c r="A7" s="1">
        <v>3000</v>
      </c>
      <c r="B7" s="2" t="s">
        <v>4</v>
      </c>
      <c r="C7" s="2">
        <v>0</v>
      </c>
      <c r="D7" s="6">
        <v>0</v>
      </c>
      <c r="E7" s="14">
        <f t="shared" si="4"/>
        <v>0</v>
      </c>
      <c r="F7" s="5">
        <v>0</v>
      </c>
      <c r="G7" s="6">
        <v>0</v>
      </c>
      <c r="H7" s="14">
        <f t="shared" si="0"/>
        <v>0</v>
      </c>
      <c r="I7" s="5">
        <v>0</v>
      </c>
      <c r="J7" s="6">
        <v>0</v>
      </c>
      <c r="K7" s="14">
        <f t="shared" si="5"/>
        <v>0</v>
      </c>
      <c r="L7" s="14">
        <v>0</v>
      </c>
      <c r="M7" s="14">
        <v>0</v>
      </c>
      <c r="N7" s="7">
        <f t="shared" si="6"/>
        <v>0</v>
      </c>
      <c r="O7" s="7">
        <v>316420</v>
      </c>
      <c r="P7" s="8">
        <v>230344</v>
      </c>
      <c r="Q7" s="14">
        <f t="shared" si="7"/>
        <v>-86076</v>
      </c>
      <c r="R7" s="7">
        <v>0</v>
      </c>
      <c r="S7" s="7">
        <v>0</v>
      </c>
      <c r="T7" s="7">
        <f t="shared" si="1"/>
        <v>0</v>
      </c>
      <c r="U7" s="5">
        <v>191000</v>
      </c>
      <c r="V7" s="6">
        <v>97525</v>
      </c>
      <c r="W7" s="14">
        <f t="shared" si="2"/>
        <v>-93475</v>
      </c>
      <c r="X7" s="12">
        <f t="shared" si="3"/>
        <v>507420</v>
      </c>
      <c r="Y7" s="13">
        <f t="shared" si="3"/>
        <v>327869</v>
      </c>
      <c r="Z7" s="14">
        <f t="shared" si="8"/>
        <v>-179551</v>
      </c>
      <c r="AA7" s="6">
        <f t="shared" si="9"/>
        <v>64.614914666351339</v>
      </c>
    </row>
    <row r="8" spans="1:244" ht="32.25" customHeight="1" x14ac:dyDescent="0.25">
      <c r="A8" s="3">
        <v>3100</v>
      </c>
      <c r="B8" s="2" t="s">
        <v>5</v>
      </c>
      <c r="C8" s="2">
        <v>0</v>
      </c>
      <c r="D8" s="6">
        <v>0</v>
      </c>
      <c r="E8" s="14">
        <f t="shared" si="4"/>
        <v>0</v>
      </c>
      <c r="F8" s="5">
        <v>0</v>
      </c>
      <c r="G8" s="6">
        <v>0</v>
      </c>
      <c r="H8" s="14">
        <f t="shared" si="0"/>
        <v>0</v>
      </c>
      <c r="I8" s="5">
        <v>0</v>
      </c>
      <c r="J8" s="6">
        <v>0</v>
      </c>
      <c r="K8" s="14">
        <f t="shared" si="5"/>
        <v>0</v>
      </c>
      <c r="L8" s="14">
        <v>0</v>
      </c>
      <c r="M8" s="14">
        <v>0</v>
      </c>
      <c r="N8" s="7">
        <f t="shared" si="6"/>
        <v>0</v>
      </c>
      <c r="O8" s="7">
        <v>2645397</v>
      </c>
      <c r="P8" s="8">
        <v>2837402</v>
      </c>
      <c r="Q8" s="14">
        <f t="shared" si="7"/>
        <v>192005</v>
      </c>
      <c r="R8" s="7">
        <v>0</v>
      </c>
      <c r="S8" s="7">
        <v>0</v>
      </c>
      <c r="T8" s="7">
        <f t="shared" ref="T8:T13" si="10">S8-R8</f>
        <v>0</v>
      </c>
      <c r="U8" s="5">
        <v>317398</v>
      </c>
      <c r="V8" s="6">
        <v>232941</v>
      </c>
      <c r="W8" s="14">
        <f t="shared" si="2"/>
        <v>-84457</v>
      </c>
      <c r="X8" s="12">
        <f t="shared" si="3"/>
        <v>2962795</v>
      </c>
      <c r="Y8" s="13">
        <f t="shared" si="3"/>
        <v>3070343</v>
      </c>
      <c r="Z8" s="14">
        <f t="shared" si="8"/>
        <v>107548</v>
      </c>
      <c r="AA8" s="6">
        <f t="shared" si="9"/>
        <v>103.62995077283443</v>
      </c>
    </row>
    <row r="9" spans="1:244" s="4" customFormat="1" ht="32.25" customHeight="1" x14ac:dyDescent="0.25">
      <c r="A9" s="3">
        <v>3200</v>
      </c>
      <c r="B9" s="11" t="s">
        <v>6</v>
      </c>
      <c r="C9" s="11">
        <v>20</v>
      </c>
      <c r="D9" s="13">
        <v>0</v>
      </c>
      <c r="E9" s="14">
        <f t="shared" si="4"/>
        <v>-20</v>
      </c>
      <c r="F9" s="12">
        <v>0</v>
      </c>
      <c r="G9" s="13">
        <v>0</v>
      </c>
      <c r="H9" s="14">
        <f t="shared" si="0"/>
        <v>0</v>
      </c>
      <c r="I9" s="12">
        <v>0</v>
      </c>
      <c r="J9" s="13">
        <v>0</v>
      </c>
      <c r="K9" s="14">
        <f t="shared" si="5"/>
        <v>0</v>
      </c>
      <c r="L9" s="14">
        <v>0</v>
      </c>
      <c r="M9" s="14">
        <v>0</v>
      </c>
      <c r="N9" s="14">
        <f t="shared" si="6"/>
        <v>0</v>
      </c>
      <c r="O9" s="14">
        <v>35380</v>
      </c>
      <c r="P9" s="15">
        <v>19188</v>
      </c>
      <c r="Q9" s="14">
        <f t="shared" si="7"/>
        <v>-16192</v>
      </c>
      <c r="R9" s="14">
        <v>0</v>
      </c>
      <c r="S9" s="14">
        <v>0</v>
      </c>
      <c r="T9" s="14">
        <f t="shared" si="10"/>
        <v>0</v>
      </c>
      <c r="U9" s="12">
        <v>96867</v>
      </c>
      <c r="V9" s="13">
        <v>123322</v>
      </c>
      <c r="W9" s="14">
        <f t="shared" si="2"/>
        <v>26455</v>
      </c>
      <c r="X9" s="12">
        <f t="shared" si="3"/>
        <v>132267</v>
      </c>
      <c r="Y9" s="13">
        <f t="shared" si="3"/>
        <v>142510</v>
      </c>
      <c r="Z9" s="14">
        <f t="shared" si="8"/>
        <v>10243</v>
      </c>
      <c r="AA9" s="6">
        <f t="shared" si="9"/>
        <v>107.74418411243923</v>
      </c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</row>
    <row r="10" spans="1:244" s="4" customFormat="1" ht="32.25" customHeight="1" x14ac:dyDescent="0.25">
      <c r="A10" s="3">
        <v>3300</v>
      </c>
      <c r="B10" s="11" t="s">
        <v>7</v>
      </c>
      <c r="C10" s="11">
        <v>159700</v>
      </c>
      <c r="D10" s="13">
        <v>8146</v>
      </c>
      <c r="E10" s="14">
        <f t="shared" si="4"/>
        <v>-151554</v>
      </c>
      <c r="F10" s="12">
        <v>0</v>
      </c>
      <c r="G10" s="13">
        <v>0</v>
      </c>
      <c r="H10" s="14">
        <f t="shared" si="0"/>
        <v>0</v>
      </c>
      <c r="I10" s="5">
        <v>0</v>
      </c>
      <c r="J10" s="13">
        <v>0</v>
      </c>
      <c r="K10" s="14">
        <f t="shared" si="5"/>
        <v>0</v>
      </c>
      <c r="L10" s="14">
        <v>0</v>
      </c>
      <c r="M10" s="14">
        <v>0</v>
      </c>
      <c r="N10" s="14">
        <f t="shared" si="6"/>
        <v>0</v>
      </c>
      <c r="O10" s="14">
        <v>0</v>
      </c>
      <c r="P10" s="15">
        <v>0</v>
      </c>
      <c r="Q10" s="14">
        <f t="shared" si="7"/>
        <v>0</v>
      </c>
      <c r="R10" s="7">
        <v>0</v>
      </c>
      <c r="S10" s="7">
        <v>0</v>
      </c>
      <c r="T10" s="7">
        <f t="shared" si="10"/>
        <v>0</v>
      </c>
      <c r="U10" s="11">
        <v>363143</v>
      </c>
      <c r="V10" s="13">
        <v>112548</v>
      </c>
      <c r="W10" s="14">
        <f t="shared" si="2"/>
        <v>-250595</v>
      </c>
      <c r="X10" s="12">
        <f t="shared" si="3"/>
        <v>522843</v>
      </c>
      <c r="Y10" s="13">
        <f t="shared" si="3"/>
        <v>120694</v>
      </c>
      <c r="Z10" s="14">
        <f t="shared" si="8"/>
        <v>-402149</v>
      </c>
      <c r="AA10" s="6">
        <f t="shared" si="9"/>
        <v>23.084176320616322</v>
      </c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</row>
    <row r="11" spans="1:244" ht="32.25" customHeight="1" x14ac:dyDescent="0.25">
      <c r="A11" s="1">
        <v>3600</v>
      </c>
      <c r="B11" s="9" t="s">
        <v>8</v>
      </c>
      <c r="C11" s="2">
        <v>174056</v>
      </c>
      <c r="D11" s="6">
        <v>78348</v>
      </c>
      <c r="E11" s="14">
        <f t="shared" si="4"/>
        <v>-95708</v>
      </c>
      <c r="F11" s="5">
        <v>0</v>
      </c>
      <c r="G11" s="6">
        <v>0</v>
      </c>
      <c r="H11" s="14">
        <f t="shared" si="0"/>
        <v>0</v>
      </c>
      <c r="I11" s="5">
        <v>25830</v>
      </c>
      <c r="J11" s="6">
        <v>0</v>
      </c>
      <c r="K11" s="14">
        <f t="shared" si="5"/>
        <v>-25830</v>
      </c>
      <c r="L11" s="14">
        <v>0</v>
      </c>
      <c r="M11" s="14">
        <v>0</v>
      </c>
      <c r="N11" s="7">
        <f t="shared" si="6"/>
        <v>0</v>
      </c>
      <c r="O11" s="14">
        <v>0</v>
      </c>
      <c r="P11" s="15">
        <v>0</v>
      </c>
      <c r="Q11" s="14">
        <f t="shared" si="7"/>
        <v>0</v>
      </c>
      <c r="R11" s="7">
        <v>0</v>
      </c>
      <c r="S11" s="7">
        <v>0</v>
      </c>
      <c r="T11" s="7">
        <f t="shared" si="10"/>
        <v>0</v>
      </c>
      <c r="U11" s="5">
        <v>107957</v>
      </c>
      <c r="V11" s="6">
        <v>14300</v>
      </c>
      <c r="W11" s="14">
        <f t="shared" si="2"/>
        <v>-93657</v>
      </c>
      <c r="X11" s="12">
        <f t="shared" si="3"/>
        <v>307843</v>
      </c>
      <c r="Y11" s="13">
        <f t="shared" si="3"/>
        <v>92648</v>
      </c>
      <c r="Z11" s="14">
        <f t="shared" si="8"/>
        <v>-215195</v>
      </c>
      <c r="AA11" s="6">
        <f t="shared" si="9"/>
        <v>30.095860552294511</v>
      </c>
    </row>
    <row r="12" spans="1:244" ht="32.25" customHeight="1" x14ac:dyDescent="0.25">
      <c r="A12" s="1">
        <v>3700</v>
      </c>
      <c r="B12" s="9" t="s">
        <v>9</v>
      </c>
      <c r="C12" s="2">
        <v>0</v>
      </c>
      <c r="D12" s="6">
        <v>0</v>
      </c>
      <c r="E12" s="14">
        <f t="shared" si="4"/>
        <v>0</v>
      </c>
      <c r="F12" s="30">
        <v>0</v>
      </c>
      <c r="G12" s="6">
        <v>0</v>
      </c>
      <c r="H12" s="14">
        <f t="shared" si="0"/>
        <v>0</v>
      </c>
      <c r="I12" s="5">
        <v>0</v>
      </c>
      <c r="J12" s="6">
        <v>0</v>
      </c>
      <c r="K12" s="14">
        <f t="shared" si="5"/>
        <v>0</v>
      </c>
      <c r="L12" s="7">
        <v>0</v>
      </c>
      <c r="M12" s="14">
        <v>0</v>
      </c>
      <c r="N12" s="7">
        <f t="shared" si="6"/>
        <v>0</v>
      </c>
      <c r="O12" s="14">
        <v>0</v>
      </c>
      <c r="P12" s="15">
        <v>0</v>
      </c>
      <c r="Q12" s="14">
        <f t="shared" si="7"/>
        <v>0</v>
      </c>
      <c r="R12" s="7">
        <v>0</v>
      </c>
      <c r="S12" s="7">
        <v>0</v>
      </c>
      <c r="T12" s="7">
        <f t="shared" si="10"/>
        <v>0</v>
      </c>
      <c r="U12" s="5">
        <v>0</v>
      </c>
      <c r="V12" s="6">
        <v>0</v>
      </c>
      <c r="W12" s="14">
        <f t="shared" si="2"/>
        <v>0</v>
      </c>
      <c r="X12" s="12">
        <f t="shared" si="3"/>
        <v>0</v>
      </c>
      <c r="Y12" s="13">
        <f t="shared" si="3"/>
        <v>0</v>
      </c>
      <c r="Z12" s="14">
        <f t="shared" si="8"/>
        <v>0</v>
      </c>
      <c r="AA12" s="6" t="e">
        <f t="shared" si="9"/>
        <v>#DIV/0!</v>
      </c>
    </row>
    <row r="13" spans="1:244" ht="32.25" customHeight="1" x14ac:dyDescent="0.25">
      <c r="A13" s="1">
        <v>4100</v>
      </c>
      <c r="B13" s="11" t="s">
        <v>10</v>
      </c>
      <c r="C13" s="6">
        <v>10884</v>
      </c>
      <c r="D13" s="6">
        <v>8855</v>
      </c>
      <c r="E13" s="14">
        <f t="shared" si="4"/>
        <v>-2029</v>
      </c>
      <c r="F13" s="5">
        <v>1</v>
      </c>
      <c r="G13" s="6">
        <v>0</v>
      </c>
      <c r="H13" s="14">
        <f t="shared" si="0"/>
        <v>-1</v>
      </c>
      <c r="I13" s="5">
        <v>309</v>
      </c>
      <c r="J13" s="6">
        <v>0</v>
      </c>
      <c r="K13" s="14">
        <f t="shared" si="5"/>
        <v>-309</v>
      </c>
      <c r="L13" s="14">
        <v>0</v>
      </c>
      <c r="M13" s="14">
        <v>0</v>
      </c>
      <c r="N13" s="7">
        <f t="shared" si="6"/>
        <v>0</v>
      </c>
      <c r="O13" s="14">
        <v>0</v>
      </c>
      <c r="P13" s="15">
        <v>0</v>
      </c>
      <c r="Q13" s="14">
        <f t="shared" si="7"/>
        <v>0</v>
      </c>
      <c r="R13" s="7">
        <v>0</v>
      </c>
      <c r="S13" s="7">
        <v>0</v>
      </c>
      <c r="T13" s="7">
        <f t="shared" si="10"/>
        <v>0</v>
      </c>
      <c r="U13" s="5">
        <v>2000</v>
      </c>
      <c r="V13" s="6">
        <v>1646</v>
      </c>
      <c r="W13" s="14">
        <f t="shared" si="2"/>
        <v>-354</v>
      </c>
      <c r="X13" s="12">
        <f t="shared" si="3"/>
        <v>13194</v>
      </c>
      <c r="Y13" s="13">
        <f t="shared" si="3"/>
        <v>10501</v>
      </c>
      <c r="Z13" s="14">
        <f t="shared" si="8"/>
        <v>-2693</v>
      </c>
      <c r="AA13" s="6">
        <f t="shared" si="9"/>
        <v>79.589207215400933</v>
      </c>
    </row>
    <row r="14" spans="1:244" ht="32.25" customHeight="1" x14ac:dyDescent="0.25">
      <c r="A14" s="1">
        <v>4200</v>
      </c>
      <c r="B14" s="11" t="s">
        <v>11</v>
      </c>
      <c r="C14" s="2">
        <v>35702</v>
      </c>
      <c r="D14" s="6">
        <v>4327</v>
      </c>
      <c r="E14" s="14">
        <f t="shared" si="4"/>
        <v>-31375</v>
      </c>
      <c r="F14" s="5">
        <v>2000</v>
      </c>
      <c r="G14" s="6">
        <v>0</v>
      </c>
      <c r="H14" s="14">
        <f t="shared" si="0"/>
        <v>-2000</v>
      </c>
      <c r="I14" s="5">
        <v>5000</v>
      </c>
      <c r="J14" s="6">
        <v>0</v>
      </c>
      <c r="K14" s="14">
        <f t="shared" si="5"/>
        <v>-5000</v>
      </c>
      <c r="L14" s="14">
        <v>0</v>
      </c>
      <c r="M14" s="14">
        <v>0</v>
      </c>
      <c r="N14" s="7">
        <f t="shared" si="6"/>
        <v>0</v>
      </c>
      <c r="O14" s="14">
        <v>0</v>
      </c>
      <c r="P14" s="15">
        <v>0</v>
      </c>
      <c r="Q14" s="14">
        <f t="shared" si="7"/>
        <v>0</v>
      </c>
      <c r="R14" s="7">
        <v>0</v>
      </c>
      <c r="S14" s="7">
        <v>0</v>
      </c>
      <c r="T14" s="7">
        <f t="shared" ref="T14:T15" si="11">S14-R14</f>
        <v>0</v>
      </c>
      <c r="U14" s="5">
        <v>11000</v>
      </c>
      <c r="V14" s="6">
        <v>0</v>
      </c>
      <c r="W14" s="14">
        <f t="shared" si="2"/>
        <v>-11000</v>
      </c>
      <c r="X14" s="12">
        <f t="shared" si="3"/>
        <v>53702</v>
      </c>
      <c r="Y14" s="13">
        <f t="shared" si="3"/>
        <v>4327</v>
      </c>
      <c r="Z14" s="14">
        <f t="shared" si="8"/>
        <v>-49375</v>
      </c>
      <c r="AA14" s="6">
        <f t="shared" si="9"/>
        <v>8.0574280287512572</v>
      </c>
    </row>
    <row r="15" spans="1:244" ht="32.25" customHeight="1" x14ac:dyDescent="0.25">
      <c r="A15" s="40">
        <v>5100</v>
      </c>
      <c r="B15" s="2" t="s">
        <v>35</v>
      </c>
      <c r="C15" s="2">
        <v>62500</v>
      </c>
      <c r="D15" s="6">
        <v>36888</v>
      </c>
      <c r="E15" s="14">
        <f t="shared" si="4"/>
        <v>-25612</v>
      </c>
      <c r="F15" s="5">
        <v>12000</v>
      </c>
      <c r="G15" s="6">
        <v>5156</v>
      </c>
      <c r="H15" s="14">
        <f t="shared" si="0"/>
        <v>-6844</v>
      </c>
      <c r="I15" s="5">
        <v>23000</v>
      </c>
      <c r="J15" s="6">
        <v>0</v>
      </c>
      <c r="K15" s="14">
        <f t="shared" si="5"/>
        <v>-23000</v>
      </c>
      <c r="L15" s="7">
        <v>0</v>
      </c>
      <c r="M15" s="14">
        <v>0</v>
      </c>
      <c r="N15" s="7">
        <f t="shared" si="6"/>
        <v>0</v>
      </c>
      <c r="O15" s="14">
        <v>0</v>
      </c>
      <c r="P15" s="15">
        <v>0</v>
      </c>
      <c r="Q15" s="14">
        <f t="shared" si="7"/>
        <v>0</v>
      </c>
      <c r="R15" s="7">
        <v>0</v>
      </c>
      <c r="S15" s="7">
        <v>0</v>
      </c>
      <c r="T15" s="7">
        <f t="shared" si="11"/>
        <v>0</v>
      </c>
      <c r="U15" s="5">
        <v>0</v>
      </c>
      <c r="V15" s="6">
        <v>0</v>
      </c>
      <c r="W15" s="14">
        <f t="shared" si="2"/>
        <v>0</v>
      </c>
      <c r="X15" s="12">
        <f t="shared" si="3"/>
        <v>97500</v>
      </c>
      <c r="Y15" s="13">
        <f t="shared" si="3"/>
        <v>42044</v>
      </c>
      <c r="Z15" s="14">
        <f t="shared" si="8"/>
        <v>-55456</v>
      </c>
      <c r="AA15" s="6">
        <f t="shared" si="9"/>
        <v>43.122051282051281</v>
      </c>
    </row>
    <row r="16" spans="1:244" s="4" customFormat="1" ht="32.25" customHeight="1" x14ac:dyDescent="0.25">
      <c r="A16" s="3">
        <v>5300</v>
      </c>
      <c r="B16" s="11" t="s">
        <v>34</v>
      </c>
      <c r="C16" s="11">
        <v>285610</v>
      </c>
      <c r="D16" s="13">
        <v>112852</v>
      </c>
      <c r="E16" s="14">
        <f t="shared" si="4"/>
        <v>-172758</v>
      </c>
      <c r="F16" s="12">
        <v>0</v>
      </c>
      <c r="G16" s="13">
        <v>0</v>
      </c>
      <c r="H16" s="14">
        <f t="shared" si="0"/>
        <v>0</v>
      </c>
      <c r="I16" s="12">
        <v>450</v>
      </c>
      <c r="J16" s="13">
        <v>1205</v>
      </c>
      <c r="K16" s="14">
        <f t="shared" si="5"/>
        <v>755</v>
      </c>
      <c r="L16" s="14">
        <v>0</v>
      </c>
      <c r="M16" s="14">
        <v>0</v>
      </c>
      <c r="N16" s="14">
        <f t="shared" si="6"/>
        <v>0</v>
      </c>
      <c r="O16" s="14">
        <v>0</v>
      </c>
      <c r="P16" s="15">
        <v>0</v>
      </c>
      <c r="Q16" s="14">
        <f t="shared" si="7"/>
        <v>0</v>
      </c>
      <c r="R16" s="14">
        <v>0</v>
      </c>
      <c r="S16" s="14">
        <v>0</v>
      </c>
      <c r="T16" s="14">
        <f t="shared" ref="T16:T20" si="12">S16-R16</f>
        <v>0</v>
      </c>
      <c r="U16" s="12">
        <v>24852</v>
      </c>
      <c r="V16" s="13">
        <v>3897</v>
      </c>
      <c r="W16" s="14">
        <f t="shared" si="2"/>
        <v>-20955</v>
      </c>
      <c r="X16" s="12">
        <f t="shared" si="3"/>
        <v>310912</v>
      </c>
      <c r="Y16" s="13">
        <f t="shared" si="3"/>
        <v>117954</v>
      </c>
      <c r="Z16" s="14">
        <f t="shared" si="8"/>
        <v>-192958</v>
      </c>
      <c r="AA16" s="6">
        <f t="shared" si="9"/>
        <v>37.938066076574721</v>
      </c>
      <c r="AB16"/>
      <c r="AC16"/>
      <c r="AD16" s="31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</row>
    <row r="17" spans="1:1476" ht="32.25" customHeight="1" x14ac:dyDescent="0.25">
      <c r="A17" s="1">
        <v>6200</v>
      </c>
      <c r="B17" s="2" t="s">
        <v>12</v>
      </c>
      <c r="C17" s="2">
        <v>0</v>
      </c>
      <c r="D17" s="6">
        <v>0</v>
      </c>
      <c r="E17" s="14">
        <f t="shared" si="4"/>
        <v>0</v>
      </c>
      <c r="F17" s="5">
        <v>0</v>
      </c>
      <c r="G17" s="6">
        <v>0</v>
      </c>
      <c r="H17" s="14">
        <f t="shared" si="0"/>
        <v>0</v>
      </c>
      <c r="I17" s="5">
        <v>0</v>
      </c>
      <c r="J17" s="6">
        <v>0</v>
      </c>
      <c r="K17" s="14">
        <f t="shared" si="5"/>
        <v>0</v>
      </c>
      <c r="L17" s="14">
        <v>0</v>
      </c>
      <c r="M17" s="14">
        <v>0</v>
      </c>
      <c r="N17" s="7">
        <f t="shared" si="6"/>
        <v>0</v>
      </c>
      <c r="O17" s="14">
        <v>0</v>
      </c>
      <c r="P17" s="15">
        <v>0</v>
      </c>
      <c r="Q17" s="14">
        <f t="shared" si="7"/>
        <v>0</v>
      </c>
      <c r="R17" s="7">
        <v>0</v>
      </c>
      <c r="S17" s="7">
        <v>0</v>
      </c>
      <c r="T17" s="14">
        <f t="shared" si="12"/>
        <v>0</v>
      </c>
      <c r="U17" s="5">
        <v>0</v>
      </c>
      <c r="V17" s="6">
        <v>0</v>
      </c>
      <c r="W17" s="14">
        <f t="shared" si="2"/>
        <v>0</v>
      </c>
      <c r="X17" s="12">
        <f t="shared" si="3"/>
        <v>0</v>
      </c>
      <c r="Y17" s="13">
        <f t="shared" si="3"/>
        <v>0</v>
      </c>
      <c r="Z17" s="14">
        <f t="shared" si="8"/>
        <v>0</v>
      </c>
      <c r="AA17" s="6" t="e">
        <f t="shared" si="9"/>
        <v>#DIV/0!</v>
      </c>
    </row>
    <row r="18" spans="1:1476" s="4" customFormat="1" ht="32.25" customHeight="1" x14ac:dyDescent="0.25">
      <c r="A18" s="3">
        <v>6400</v>
      </c>
      <c r="B18" s="11" t="s">
        <v>13</v>
      </c>
      <c r="C18" s="11">
        <v>69550</v>
      </c>
      <c r="D18" s="13">
        <v>23698</v>
      </c>
      <c r="E18" s="14">
        <f t="shared" si="4"/>
        <v>-45852</v>
      </c>
      <c r="F18" s="12">
        <v>12111</v>
      </c>
      <c r="G18" s="13">
        <v>9471</v>
      </c>
      <c r="H18" s="14">
        <f t="shared" si="0"/>
        <v>-2640</v>
      </c>
      <c r="I18" s="12">
        <v>62003</v>
      </c>
      <c r="J18" s="13">
        <v>6804</v>
      </c>
      <c r="K18" s="14">
        <f t="shared" si="5"/>
        <v>-55199</v>
      </c>
      <c r="L18" s="14">
        <v>0</v>
      </c>
      <c r="M18" s="14">
        <v>0</v>
      </c>
      <c r="N18" s="14">
        <f t="shared" si="6"/>
        <v>0</v>
      </c>
      <c r="O18" s="14">
        <v>0</v>
      </c>
      <c r="P18" s="15">
        <v>0</v>
      </c>
      <c r="Q18" s="14">
        <f t="shared" si="7"/>
        <v>0</v>
      </c>
      <c r="R18" s="14">
        <v>0</v>
      </c>
      <c r="S18" s="14">
        <v>0</v>
      </c>
      <c r="T18" s="14">
        <f t="shared" si="12"/>
        <v>0</v>
      </c>
      <c r="U18" s="12">
        <v>172069</v>
      </c>
      <c r="V18" s="29">
        <v>45306</v>
      </c>
      <c r="W18" s="14">
        <f t="shared" si="2"/>
        <v>-126763</v>
      </c>
      <c r="X18" s="12">
        <f t="shared" si="3"/>
        <v>315733</v>
      </c>
      <c r="Y18" s="13">
        <f t="shared" si="3"/>
        <v>85279</v>
      </c>
      <c r="Z18" s="14">
        <f t="shared" si="8"/>
        <v>-230454</v>
      </c>
      <c r="AA18" s="6">
        <f>Y18/X18*100</f>
        <v>27.00984692762556</v>
      </c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</row>
    <row r="19" spans="1:1476" ht="32.25" customHeight="1" x14ac:dyDescent="0.25">
      <c r="A19" s="1"/>
      <c r="B19" s="2" t="s">
        <v>42</v>
      </c>
      <c r="C19" s="2">
        <v>64034</v>
      </c>
      <c r="D19" s="6">
        <v>0</v>
      </c>
      <c r="E19" s="14">
        <f t="shared" si="4"/>
        <v>-64034</v>
      </c>
      <c r="F19" s="5">
        <v>0</v>
      </c>
      <c r="G19" s="6">
        <v>0</v>
      </c>
      <c r="H19" s="14">
        <f t="shared" si="0"/>
        <v>0</v>
      </c>
      <c r="I19" s="5">
        <v>0</v>
      </c>
      <c r="J19" s="6">
        <v>0</v>
      </c>
      <c r="K19" s="14">
        <f t="shared" si="5"/>
        <v>0</v>
      </c>
      <c r="L19" s="14">
        <v>0</v>
      </c>
      <c r="M19" s="14">
        <v>0</v>
      </c>
      <c r="N19" s="7">
        <f t="shared" si="6"/>
        <v>0</v>
      </c>
      <c r="O19" s="14">
        <v>0</v>
      </c>
      <c r="P19" s="15">
        <v>0</v>
      </c>
      <c r="Q19" s="14">
        <f t="shared" si="7"/>
        <v>0</v>
      </c>
      <c r="R19" s="7">
        <v>0</v>
      </c>
      <c r="S19" s="7">
        <v>0</v>
      </c>
      <c r="T19" s="14">
        <f t="shared" si="12"/>
        <v>0</v>
      </c>
      <c r="U19" s="5">
        <v>0</v>
      </c>
      <c r="V19" s="10">
        <v>0</v>
      </c>
      <c r="W19" s="14">
        <f t="shared" si="2"/>
        <v>0</v>
      </c>
      <c r="X19" s="12">
        <f t="shared" si="3"/>
        <v>64034</v>
      </c>
      <c r="Y19" s="13">
        <f t="shared" si="3"/>
        <v>0</v>
      </c>
      <c r="Z19" s="14">
        <f t="shared" si="8"/>
        <v>-64034</v>
      </c>
      <c r="AA19" s="6">
        <f>Y19/X19*100</f>
        <v>0</v>
      </c>
    </row>
    <row r="20" spans="1:1476" ht="32.25" customHeight="1" x14ac:dyDescent="0.25">
      <c r="A20" s="1">
        <v>6500</v>
      </c>
      <c r="B20" s="2" t="s">
        <v>15</v>
      </c>
      <c r="C20" s="33">
        <v>6000</v>
      </c>
      <c r="D20" s="6">
        <v>0</v>
      </c>
      <c r="E20" s="14">
        <f t="shared" si="4"/>
        <v>-6000</v>
      </c>
      <c r="F20" s="5">
        <v>0</v>
      </c>
      <c r="G20" s="6">
        <v>0</v>
      </c>
      <c r="H20" s="14">
        <f t="shared" si="0"/>
        <v>0</v>
      </c>
      <c r="I20" s="5">
        <v>0</v>
      </c>
      <c r="J20" s="6">
        <v>0</v>
      </c>
      <c r="K20" s="14">
        <f t="shared" si="5"/>
        <v>0</v>
      </c>
      <c r="L20" s="14">
        <v>0</v>
      </c>
      <c r="M20" s="14">
        <v>0</v>
      </c>
      <c r="N20" s="7">
        <f t="shared" si="6"/>
        <v>0</v>
      </c>
      <c r="O20" s="14">
        <v>0</v>
      </c>
      <c r="P20" s="15">
        <v>0</v>
      </c>
      <c r="Q20" s="14">
        <f t="shared" si="7"/>
        <v>0</v>
      </c>
      <c r="R20" s="14">
        <v>0</v>
      </c>
      <c r="S20" s="14">
        <v>0</v>
      </c>
      <c r="T20" s="14">
        <f t="shared" si="12"/>
        <v>0</v>
      </c>
      <c r="U20" s="5">
        <v>10</v>
      </c>
      <c r="V20" s="6">
        <v>0</v>
      </c>
      <c r="W20" s="14">
        <f t="shared" si="2"/>
        <v>-10</v>
      </c>
      <c r="X20" s="12">
        <f t="shared" ref="X20:Y21" si="13">C20+F20+I20+L20+O20+U20+R20</f>
        <v>6010</v>
      </c>
      <c r="Y20" s="13">
        <f t="shared" si="13"/>
        <v>0</v>
      </c>
      <c r="Z20" s="14">
        <f t="shared" si="8"/>
        <v>-6010</v>
      </c>
      <c r="AA20" s="6">
        <f t="shared" si="9"/>
        <v>0</v>
      </c>
    </row>
    <row r="21" spans="1:1476" ht="32.25" customHeight="1" x14ac:dyDescent="0.25">
      <c r="A21" s="46" t="s">
        <v>16</v>
      </c>
      <c r="B21" s="47"/>
      <c r="C21" s="33">
        <f>SUM(C4:C20)</f>
        <v>1018353</v>
      </c>
      <c r="D21" s="1">
        <f>SUM(D4:D20)</f>
        <v>354585</v>
      </c>
      <c r="E21" s="14">
        <f t="shared" si="4"/>
        <v>-663768</v>
      </c>
      <c r="F21" s="2">
        <f>SUM(F4:F20)</f>
        <v>40232</v>
      </c>
      <c r="G21" s="1">
        <f>SUM(G4:G20)</f>
        <v>15491</v>
      </c>
      <c r="H21" s="14">
        <f t="shared" si="0"/>
        <v>-24741</v>
      </c>
      <c r="I21" s="2">
        <f>SUM(I4:I20)</f>
        <v>130592</v>
      </c>
      <c r="J21" s="1">
        <f>SUM(J4:J20)</f>
        <v>11290</v>
      </c>
      <c r="K21" s="14">
        <f t="shared" si="5"/>
        <v>-119302</v>
      </c>
      <c r="L21" s="2">
        <f>SUM(L4:L20)</f>
        <v>0</v>
      </c>
      <c r="M21" s="2">
        <f>SUM(M4:M20)</f>
        <v>0</v>
      </c>
      <c r="N21" s="7">
        <f t="shared" si="6"/>
        <v>0</v>
      </c>
      <c r="O21" s="1">
        <f>SUM(O4:O20)</f>
        <v>3117515</v>
      </c>
      <c r="P21" s="1">
        <f>SUM(P4:P20)</f>
        <v>3142858</v>
      </c>
      <c r="Q21" s="14">
        <f t="shared" si="7"/>
        <v>25343</v>
      </c>
      <c r="R21" s="1">
        <f>SUM(R4:R20)</f>
        <v>0</v>
      </c>
      <c r="S21" s="1">
        <f>SUM(S4:S20)</f>
        <v>0</v>
      </c>
      <c r="T21" s="1">
        <f>SUM(T4:T20)</f>
        <v>0</v>
      </c>
      <c r="U21" s="2">
        <f>SUM(U4:U20)</f>
        <v>1301009</v>
      </c>
      <c r="V21" s="1">
        <f>SUM(V4:V20)</f>
        <v>631485</v>
      </c>
      <c r="W21" s="7">
        <f t="shared" si="2"/>
        <v>-669524</v>
      </c>
      <c r="X21" s="12">
        <f t="shared" si="13"/>
        <v>5607701</v>
      </c>
      <c r="Y21" s="13">
        <f t="shared" si="13"/>
        <v>4155709</v>
      </c>
      <c r="Z21" s="14">
        <f t="shared" si="8"/>
        <v>-1451992</v>
      </c>
      <c r="AA21" s="6">
        <f>Y21/X21*100</f>
        <v>74.107178681602321</v>
      </c>
    </row>
    <row r="22" spans="1:1476" x14ac:dyDescent="0.25">
      <c r="A22" s="18"/>
      <c r="B22" s="18"/>
      <c r="C22" s="19"/>
      <c r="D22" s="18"/>
      <c r="E22" s="20"/>
      <c r="F22" s="19"/>
      <c r="G22" s="18"/>
      <c r="H22" s="20"/>
      <c r="I22" s="19"/>
      <c r="J22" s="18"/>
      <c r="K22" s="20"/>
      <c r="L22" s="19"/>
      <c r="M22" s="19"/>
      <c r="N22" s="20"/>
      <c r="O22" s="18"/>
      <c r="P22" s="18"/>
      <c r="Q22" s="20"/>
      <c r="R22" s="18"/>
      <c r="S22" s="18"/>
      <c r="T22" s="18"/>
      <c r="U22" s="19"/>
      <c r="V22" s="18"/>
      <c r="W22" s="20"/>
      <c r="X22" s="19"/>
      <c r="Y22" s="18"/>
      <c r="Z22" s="20"/>
    </row>
    <row r="23" spans="1:1476" x14ac:dyDescent="0.25">
      <c r="B23" t="s">
        <v>25</v>
      </c>
      <c r="D23" s="37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7"/>
    </row>
    <row r="24" spans="1:1476" x14ac:dyDescent="0.25">
      <c r="B24" t="s">
        <v>26</v>
      </c>
      <c r="D24" s="37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7"/>
      <c r="W24" t="s">
        <v>27</v>
      </c>
    </row>
    <row r="25" spans="1:1476" x14ac:dyDescent="0.25">
      <c r="B25" t="s">
        <v>28</v>
      </c>
      <c r="D25" s="37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7"/>
      <c r="W25" t="s">
        <v>29</v>
      </c>
    </row>
    <row r="26" spans="1:1476" x14ac:dyDescent="0.25"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</row>
    <row r="32" spans="1:1476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9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9" x14ac:dyDescent="0.25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17"/>
      <c r="AB34" s="17"/>
      <c r="AC34" s="17"/>
    </row>
    <row r="35" spans="1:29" x14ac:dyDescent="0.2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17"/>
      <c r="AB35" s="17"/>
      <c r="AC35" s="17"/>
    </row>
    <row r="36" spans="1:29" x14ac:dyDescent="0.2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17"/>
      <c r="AB36" s="17"/>
      <c r="AC36" s="17"/>
    </row>
    <row r="37" spans="1:29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17"/>
      <c r="AB37" s="17"/>
      <c r="AC37" s="17"/>
    </row>
    <row r="38" spans="1:29" x14ac:dyDescent="0.25">
      <c r="A38" s="22"/>
      <c r="B38" s="21"/>
      <c r="C38" s="21"/>
      <c r="D38" s="22"/>
      <c r="E38" s="20"/>
      <c r="F38" s="21"/>
      <c r="G38" s="22"/>
      <c r="H38" s="20"/>
      <c r="I38" s="21"/>
      <c r="J38" s="22"/>
      <c r="K38" s="20"/>
      <c r="L38" s="20"/>
      <c r="M38" s="23"/>
      <c r="N38" s="20"/>
      <c r="O38" s="20"/>
      <c r="P38" s="23"/>
      <c r="Q38" s="20"/>
      <c r="R38" s="20"/>
      <c r="S38" s="20"/>
      <c r="T38" s="20"/>
      <c r="U38" s="21"/>
      <c r="V38" s="22"/>
      <c r="W38" s="20"/>
      <c r="X38" s="21"/>
      <c r="Y38" s="22"/>
      <c r="Z38" s="20"/>
      <c r="AA38" s="17"/>
      <c r="AB38" s="17"/>
      <c r="AC38" s="17"/>
    </row>
    <row r="39" spans="1:29" x14ac:dyDescent="0.25">
      <c r="A39" s="22"/>
      <c r="B39" s="21"/>
      <c r="C39" s="21"/>
      <c r="D39" s="22"/>
      <c r="E39" s="20"/>
      <c r="F39" s="21"/>
      <c r="G39" s="22"/>
      <c r="H39" s="20"/>
      <c r="I39" s="21"/>
      <c r="J39" s="22"/>
      <c r="K39" s="20"/>
      <c r="L39" s="20"/>
      <c r="M39" s="20"/>
      <c r="N39" s="20"/>
      <c r="O39" s="20"/>
      <c r="P39" s="23"/>
      <c r="Q39" s="20"/>
      <c r="R39" s="20"/>
      <c r="S39" s="20"/>
      <c r="T39" s="20"/>
      <c r="U39" s="21"/>
      <c r="V39" s="22"/>
      <c r="W39" s="20"/>
      <c r="X39" s="21"/>
      <c r="Y39" s="22"/>
      <c r="Z39" s="20"/>
      <c r="AA39" s="17"/>
      <c r="AB39" s="17"/>
      <c r="AC39" s="17"/>
    </row>
    <row r="40" spans="1:29" x14ac:dyDescent="0.25">
      <c r="A40" s="22"/>
      <c r="B40" s="21"/>
      <c r="C40" s="21"/>
      <c r="D40" s="22"/>
      <c r="E40" s="20"/>
      <c r="F40" s="21"/>
      <c r="G40" s="22"/>
      <c r="H40" s="20"/>
      <c r="I40" s="21"/>
      <c r="J40" s="22"/>
      <c r="K40" s="20"/>
      <c r="L40" s="20"/>
      <c r="M40" s="20"/>
      <c r="N40" s="20"/>
      <c r="O40" s="20"/>
      <c r="P40" s="23"/>
      <c r="Q40" s="20"/>
      <c r="R40" s="20"/>
      <c r="S40" s="20"/>
      <c r="T40" s="20"/>
      <c r="U40" s="22"/>
      <c r="V40" s="22"/>
      <c r="W40" s="20"/>
      <c r="X40" s="21"/>
      <c r="Y40" s="22"/>
      <c r="Z40" s="20"/>
    </row>
    <row r="41" spans="1:29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1:29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1:29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spans="1:29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1:29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1:29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1:29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1:29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1:27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1:27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1:27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1:27" x14ac:dyDescent="0.25">
      <c r="A52" s="22"/>
      <c r="B52" s="21"/>
      <c r="C52" s="21"/>
      <c r="D52" s="22"/>
      <c r="E52" s="20"/>
      <c r="F52" s="21"/>
      <c r="G52" s="22"/>
      <c r="H52" s="20"/>
      <c r="I52" s="21"/>
      <c r="J52" s="22"/>
      <c r="K52" s="20"/>
      <c r="L52" s="20"/>
      <c r="M52" s="20"/>
      <c r="N52" s="20"/>
      <c r="O52" s="20"/>
      <c r="P52" s="23"/>
      <c r="Q52" s="20"/>
      <c r="R52" s="20"/>
      <c r="S52" s="20"/>
      <c r="T52" s="20"/>
      <c r="U52" s="21"/>
      <c r="V52" s="22"/>
      <c r="W52" s="20"/>
      <c r="X52" s="21"/>
      <c r="Y52" s="22"/>
      <c r="Z52" s="20"/>
    </row>
    <row r="53" spans="1:27" x14ac:dyDescent="0.25">
      <c r="A53" s="22"/>
      <c r="B53" s="22"/>
      <c r="C53" s="21"/>
      <c r="D53" s="22"/>
      <c r="E53" s="20"/>
      <c r="F53" s="21"/>
      <c r="G53" s="22"/>
      <c r="H53" s="20"/>
      <c r="I53" s="21"/>
      <c r="J53" s="22"/>
      <c r="K53" s="20"/>
      <c r="L53" s="21"/>
      <c r="M53" s="21"/>
      <c r="N53" s="20"/>
      <c r="O53" s="22"/>
      <c r="P53" s="22"/>
      <c r="Q53" s="20"/>
      <c r="R53" s="22"/>
      <c r="S53" s="22"/>
      <c r="T53" s="22"/>
      <c r="U53" s="21"/>
      <c r="V53" s="22"/>
      <c r="W53" s="20"/>
      <c r="X53" s="21"/>
      <c r="Y53" s="22"/>
      <c r="Z53" s="20"/>
    </row>
    <row r="54" spans="1:27" x14ac:dyDescent="0.25">
      <c r="A54" s="22"/>
      <c r="B54" s="22"/>
      <c r="C54" s="21"/>
      <c r="D54" s="22"/>
      <c r="E54" s="20"/>
      <c r="F54" s="21"/>
      <c r="G54" s="22"/>
      <c r="H54" s="20"/>
      <c r="I54" s="21"/>
      <c r="J54" s="22"/>
      <c r="K54" s="20"/>
      <c r="L54" s="21"/>
      <c r="M54" s="21"/>
      <c r="N54" s="20"/>
      <c r="O54" s="22"/>
      <c r="P54" s="22"/>
      <c r="Q54" s="20"/>
      <c r="R54" s="22"/>
      <c r="S54" s="22"/>
      <c r="T54" s="22"/>
      <c r="U54" s="21"/>
      <c r="V54" s="22"/>
      <c r="W54" s="20"/>
      <c r="X54" s="21"/>
      <c r="Y54" s="22"/>
      <c r="Z54" s="20"/>
    </row>
    <row r="55" spans="1:27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7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7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</sheetData>
  <mergeCells count="12">
    <mergeCell ref="X2:AA2"/>
    <mergeCell ref="A1:AA1"/>
    <mergeCell ref="A21:B21"/>
    <mergeCell ref="L2:N2"/>
    <mergeCell ref="O2:Q2"/>
    <mergeCell ref="R2:T2"/>
    <mergeCell ref="U2:W2"/>
    <mergeCell ref="A2:A3"/>
    <mergeCell ref="B2:B3"/>
    <mergeCell ref="C2:E2"/>
    <mergeCell ref="F2:H2"/>
    <mergeCell ref="I2:K2"/>
  </mergeCells>
  <pageMargins left="0.7" right="0.7" top="0.75" bottom="0.75" header="0.3" footer="0.3"/>
  <pageSetup paperSize="9" scale="58" orientation="landscape" r:id="rId1"/>
  <colBreaks count="1" manualBreakCount="1">
    <brk id="23" max="2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6"/>
  <sheetViews>
    <sheetView topLeftCell="A4" zoomScale="85" zoomScaleNormal="85" workbookViewId="0">
      <selection activeCell="H20" sqref="H20"/>
    </sheetView>
  </sheetViews>
  <sheetFormatPr defaultRowHeight="15" x14ac:dyDescent="0.25"/>
  <cols>
    <col min="1" max="1" width="9.42578125" style="17" customWidth="1"/>
    <col min="2" max="2" width="23.140625" style="17" customWidth="1"/>
    <col min="3" max="26" width="8" style="17" customWidth="1"/>
    <col min="27" max="27" width="12.28515625" bestFit="1" customWidth="1"/>
  </cols>
  <sheetData>
    <row r="1" spans="1:35" ht="17.25" customHeight="1" x14ac:dyDescent="0.25">
      <c r="A1" s="51" t="s">
        <v>46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35" ht="33" customHeight="1" x14ac:dyDescent="0.25">
      <c r="A2" s="50" t="s">
        <v>0</v>
      </c>
      <c r="B2" s="50" t="s">
        <v>17</v>
      </c>
      <c r="C2" s="50" t="s">
        <v>18</v>
      </c>
      <c r="D2" s="50"/>
      <c r="E2" s="50"/>
      <c r="F2" s="50" t="s">
        <v>19</v>
      </c>
      <c r="G2" s="50"/>
      <c r="H2" s="50"/>
      <c r="I2" s="50" t="s">
        <v>20</v>
      </c>
      <c r="J2" s="50"/>
      <c r="K2" s="50"/>
      <c r="L2" s="50" t="s">
        <v>31</v>
      </c>
      <c r="M2" s="50"/>
      <c r="N2" s="50"/>
      <c r="O2" s="50" t="s">
        <v>32</v>
      </c>
      <c r="P2" s="50"/>
      <c r="Q2" s="50"/>
      <c r="R2" s="50" t="s">
        <v>33</v>
      </c>
      <c r="S2" s="50"/>
      <c r="T2" s="50"/>
      <c r="U2" s="50" t="s">
        <v>21</v>
      </c>
      <c r="V2" s="50"/>
      <c r="W2" s="50"/>
      <c r="X2" s="43" t="s">
        <v>22</v>
      </c>
      <c r="Y2" s="43"/>
      <c r="Z2" s="43"/>
      <c r="AA2" s="43"/>
    </row>
    <row r="3" spans="1:35" ht="33" customHeight="1" x14ac:dyDescent="0.25">
      <c r="A3" s="43"/>
      <c r="B3" s="43"/>
      <c r="C3" s="42" t="s">
        <v>44</v>
      </c>
      <c r="D3" s="5" t="s">
        <v>23</v>
      </c>
      <c r="E3" s="2" t="s">
        <v>24</v>
      </c>
      <c r="F3" s="42" t="s">
        <v>45</v>
      </c>
      <c r="G3" s="5" t="s">
        <v>23</v>
      </c>
      <c r="H3" s="2" t="s">
        <v>24</v>
      </c>
      <c r="I3" s="5" t="s">
        <v>41</v>
      </c>
      <c r="J3" s="5" t="s">
        <v>23</v>
      </c>
      <c r="K3" s="2" t="s">
        <v>24</v>
      </c>
      <c r="L3" s="42" t="s">
        <v>45</v>
      </c>
      <c r="M3" s="5" t="s">
        <v>23</v>
      </c>
      <c r="N3" s="2" t="s">
        <v>24</v>
      </c>
      <c r="O3" s="42" t="s">
        <v>45</v>
      </c>
      <c r="P3" s="5" t="s">
        <v>23</v>
      </c>
      <c r="Q3" s="2" t="s">
        <v>24</v>
      </c>
      <c r="R3" s="42" t="s">
        <v>45</v>
      </c>
      <c r="S3" s="2" t="s">
        <v>23</v>
      </c>
      <c r="T3" s="2" t="s">
        <v>30</v>
      </c>
      <c r="U3" s="42" t="s">
        <v>45</v>
      </c>
      <c r="V3" s="5" t="s">
        <v>23</v>
      </c>
      <c r="W3" s="2" t="s">
        <v>24</v>
      </c>
      <c r="X3" s="42" t="s">
        <v>45</v>
      </c>
      <c r="Y3" s="5" t="s">
        <v>23</v>
      </c>
      <c r="Z3" s="2" t="s">
        <v>24</v>
      </c>
      <c r="AA3" s="5" t="s">
        <v>37</v>
      </c>
    </row>
    <row r="4" spans="1:35" ht="33" customHeight="1" x14ac:dyDescent="0.3">
      <c r="A4" s="1">
        <v>1600</v>
      </c>
      <c r="B4" s="2" t="s">
        <v>38</v>
      </c>
      <c r="C4" s="5">
        <v>0</v>
      </c>
      <c r="D4" s="6">
        <v>0</v>
      </c>
      <c r="E4" s="7">
        <f>D4-C4</f>
        <v>0</v>
      </c>
      <c r="F4" s="2">
        <v>0</v>
      </c>
      <c r="G4" s="1">
        <v>0</v>
      </c>
      <c r="H4" s="7">
        <f>G4-F4</f>
        <v>0</v>
      </c>
      <c r="I4" s="2">
        <v>0</v>
      </c>
      <c r="J4" s="22">
        <v>0</v>
      </c>
      <c r="K4" s="7">
        <f>J4-I4</f>
        <v>0</v>
      </c>
      <c r="L4" s="7">
        <v>0</v>
      </c>
      <c r="M4" s="7">
        <v>0</v>
      </c>
      <c r="N4" s="7">
        <f>M4-L4</f>
        <v>0</v>
      </c>
      <c r="O4" s="7">
        <v>0</v>
      </c>
      <c r="P4" s="8">
        <v>0</v>
      </c>
      <c r="Q4" s="7">
        <f>P4-O4</f>
        <v>0</v>
      </c>
      <c r="R4" s="7">
        <v>0</v>
      </c>
      <c r="S4" s="7">
        <v>0</v>
      </c>
      <c r="T4" s="7">
        <f>S4-R4</f>
        <v>0</v>
      </c>
      <c r="U4" s="5">
        <v>0</v>
      </c>
      <c r="V4" s="6">
        <v>0</v>
      </c>
      <c r="W4" s="7">
        <f>V4-U4</f>
        <v>0</v>
      </c>
      <c r="X4" s="5">
        <f t="shared" ref="X4:X19" si="0">C4+F4+I4+L4+O4+U4+R4</f>
        <v>0</v>
      </c>
      <c r="Y4" s="6">
        <f>D4+G4+J4+M4+P4+V4+S4</f>
        <v>0</v>
      </c>
      <c r="Z4" s="7">
        <f>Y4-X4</f>
        <v>0</v>
      </c>
      <c r="AA4" s="6" t="e">
        <f t="shared" ref="AA4:AA6" si="1">Y4/X4*100</f>
        <v>#DIV/0!</v>
      </c>
      <c r="AB4" s="34"/>
    </row>
    <row r="5" spans="1:35" ht="33" customHeight="1" x14ac:dyDescent="0.25">
      <c r="A5" s="1">
        <v>1700</v>
      </c>
      <c r="B5" s="2" t="s">
        <v>2</v>
      </c>
      <c r="C5" s="2">
        <v>0</v>
      </c>
      <c r="D5" s="6">
        <v>0</v>
      </c>
      <c r="E5" s="7">
        <f t="shared" ref="E5:E20" si="2">D5-C5</f>
        <v>0</v>
      </c>
      <c r="F5" s="5">
        <v>0</v>
      </c>
      <c r="G5" s="1">
        <v>0</v>
      </c>
      <c r="H5" s="7">
        <f t="shared" ref="H5:H7" si="3">G5-F5</f>
        <v>0</v>
      </c>
      <c r="I5" s="5">
        <v>0</v>
      </c>
      <c r="J5" s="1">
        <v>0</v>
      </c>
      <c r="K5" s="7">
        <f t="shared" ref="K5:K7" si="4">J5-I5</f>
        <v>0</v>
      </c>
      <c r="L5" s="7">
        <v>0</v>
      </c>
      <c r="M5" s="7">
        <v>0</v>
      </c>
      <c r="N5" s="7">
        <f>M5-L5</f>
        <v>0</v>
      </c>
      <c r="O5" s="7">
        <v>0</v>
      </c>
      <c r="P5" s="8">
        <v>0</v>
      </c>
      <c r="Q5" s="7">
        <f t="shared" ref="Q5:Q20" si="5">P5-O5</f>
        <v>0</v>
      </c>
      <c r="R5" s="7">
        <v>0</v>
      </c>
      <c r="S5" s="7">
        <v>0</v>
      </c>
      <c r="T5" s="7">
        <f t="shared" ref="T5:T7" si="6">S5-R5</f>
        <v>0</v>
      </c>
      <c r="U5" s="5">
        <v>0</v>
      </c>
      <c r="V5" s="6">
        <v>0</v>
      </c>
      <c r="W5" s="7">
        <f>V5-U5</f>
        <v>0</v>
      </c>
      <c r="X5" s="5">
        <f t="shared" si="0"/>
        <v>0</v>
      </c>
      <c r="Y5" s="6">
        <f t="shared" ref="Y5:Y21" si="7">D5+G5+J5+M5+P5+V5+S5</f>
        <v>0</v>
      </c>
      <c r="Z5" s="7">
        <f t="shared" ref="Z5:Z21" si="8">Y5-X5</f>
        <v>0</v>
      </c>
      <c r="AA5" s="6" t="e">
        <f t="shared" si="1"/>
        <v>#DIV/0!</v>
      </c>
      <c r="AB5" s="37"/>
      <c r="AC5" s="37"/>
      <c r="AD5" s="37"/>
      <c r="AE5" s="37"/>
      <c r="AF5" s="37"/>
      <c r="AG5" s="37"/>
      <c r="AH5" s="37"/>
      <c r="AI5" s="37"/>
    </row>
    <row r="6" spans="1:35" ht="33" customHeight="1" x14ac:dyDescent="0.25">
      <c r="A6" s="1">
        <v>2900</v>
      </c>
      <c r="B6" s="2" t="s">
        <v>3</v>
      </c>
      <c r="C6" s="2">
        <v>0</v>
      </c>
      <c r="D6" s="6">
        <v>0</v>
      </c>
      <c r="E6" s="7">
        <f t="shared" si="2"/>
        <v>0</v>
      </c>
      <c r="F6" s="2">
        <v>0</v>
      </c>
      <c r="G6" s="1">
        <v>0</v>
      </c>
      <c r="H6" s="7">
        <f t="shared" si="3"/>
        <v>0</v>
      </c>
      <c r="I6" s="5">
        <v>0</v>
      </c>
      <c r="J6" s="1">
        <v>0</v>
      </c>
      <c r="K6" s="7">
        <f t="shared" si="4"/>
        <v>0</v>
      </c>
      <c r="L6" s="7">
        <v>0</v>
      </c>
      <c r="M6" s="7">
        <v>0</v>
      </c>
      <c r="N6" s="7">
        <f t="shared" ref="N6:N15" si="9">M6-L6</f>
        <v>0</v>
      </c>
      <c r="O6" s="7">
        <v>0</v>
      </c>
      <c r="P6" s="8">
        <v>0</v>
      </c>
      <c r="Q6" s="7">
        <f t="shared" si="5"/>
        <v>0</v>
      </c>
      <c r="R6" s="7">
        <v>0</v>
      </c>
      <c r="S6" s="7">
        <v>0</v>
      </c>
      <c r="T6" s="7">
        <f t="shared" si="6"/>
        <v>0</v>
      </c>
      <c r="U6" s="5">
        <v>0</v>
      </c>
      <c r="V6" s="6">
        <v>0</v>
      </c>
      <c r="W6" s="7">
        <f t="shared" ref="W6:W20" si="10">V6-U6</f>
        <v>0</v>
      </c>
      <c r="X6" s="5">
        <f t="shared" si="0"/>
        <v>0</v>
      </c>
      <c r="Y6" s="6">
        <f t="shared" si="7"/>
        <v>0</v>
      </c>
      <c r="Z6" s="7">
        <f t="shared" si="8"/>
        <v>0</v>
      </c>
      <c r="AA6" s="6" t="e">
        <f t="shared" si="1"/>
        <v>#DIV/0!</v>
      </c>
    </row>
    <row r="7" spans="1:35" ht="33" customHeight="1" x14ac:dyDescent="0.25">
      <c r="A7" s="3">
        <v>3000</v>
      </c>
      <c r="B7" s="2" t="s">
        <v>4</v>
      </c>
      <c r="C7" s="2">
        <v>0</v>
      </c>
      <c r="D7" s="6">
        <v>0</v>
      </c>
      <c r="E7" s="7">
        <f t="shared" si="2"/>
        <v>0</v>
      </c>
      <c r="F7" s="5">
        <v>0</v>
      </c>
      <c r="G7" s="1">
        <v>0</v>
      </c>
      <c r="H7" s="7">
        <f t="shared" si="3"/>
        <v>0</v>
      </c>
      <c r="I7" s="5">
        <v>0</v>
      </c>
      <c r="J7" s="1">
        <v>0</v>
      </c>
      <c r="K7" s="7">
        <f t="shared" si="4"/>
        <v>0</v>
      </c>
      <c r="L7" s="7">
        <v>0</v>
      </c>
      <c r="M7" s="7">
        <v>0</v>
      </c>
      <c r="N7" s="7">
        <f t="shared" si="9"/>
        <v>0</v>
      </c>
      <c r="O7" s="7">
        <v>0</v>
      </c>
      <c r="P7" s="8">
        <v>0</v>
      </c>
      <c r="Q7" s="7">
        <f t="shared" si="5"/>
        <v>0</v>
      </c>
      <c r="R7" s="7">
        <v>0</v>
      </c>
      <c r="S7" s="7">
        <v>0</v>
      </c>
      <c r="T7" s="7">
        <f t="shared" si="6"/>
        <v>0</v>
      </c>
      <c r="U7" s="5">
        <v>1</v>
      </c>
      <c r="V7" s="6">
        <v>127</v>
      </c>
      <c r="W7" s="7">
        <f t="shared" si="10"/>
        <v>126</v>
      </c>
      <c r="X7" s="5">
        <f t="shared" si="0"/>
        <v>1</v>
      </c>
      <c r="Y7" s="6">
        <f t="shared" si="7"/>
        <v>127</v>
      </c>
      <c r="Z7" s="7">
        <f t="shared" si="8"/>
        <v>126</v>
      </c>
      <c r="AA7" s="6">
        <f t="shared" ref="AA7:AA21" si="11">Y7/X7*100</f>
        <v>12700</v>
      </c>
    </row>
    <row r="8" spans="1:35" ht="33" customHeight="1" x14ac:dyDescent="0.25">
      <c r="A8" s="1">
        <v>3100</v>
      </c>
      <c r="B8" s="2" t="s">
        <v>5</v>
      </c>
      <c r="C8" s="2">
        <v>0</v>
      </c>
      <c r="D8" s="6">
        <v>0</v>
      </c>
      <c r="E8" s="7">
        <f t="shared" si="2"/>
        <v>0</v>
      </c>
      <c r="F8" s="2">
        <v>0</v>
      </c>
      <c r="G8" s="6">
        <v>0</v>
      </c>
      <c r="H8" s="7">
        <f t="shared" ref="H8:H17" si="12">G8-F8</f>
        <v>0</v>
      </c>
      <c r="I8" s="5">
        <v>0</v>
      </c>
      <c r="J8" s="1">
        <v>0</v>
      </c>
      <c r="K8" s="7">
        <f t="shared" ref="K8:K9" si="13">J8-I8</f>
        <v>0</v>
      </c>
      <c r="L8" s="7">
        <v>0</v>
      </c>
      <c r="M8" s="7">
        <v>0</v>
      </c>
      <c r="N8" s="7">
        <f t="shared" si="9"/>
        <v>0</v>
      </c>
      <c r="O8" s="7">
        <v>0</v>
      </c>
      <c r="P8" s="8">
        <v>0</v>
      </c>
      <c r="Q8" s="7">
        <f t="shared" si="5"/>
        <v>0</v>
      </c>
      <c r="R8" s="7">
        <v>0</v>
      </c>
      <c r="S8" s="7">
        <v>0</v>
      </c>
      <c r="T8" s="7">
        <f t="shared" ref="T8:T13" si="14">S8-R8</f>
        <v>0</v>
      </c>
      <c r="U8" s="6">
        <v>0</v>
      </c>
      <c r="V8" s="6">
        <v>0</v>
      </c>
      <c r="W8" s="7">
        <f t="shared" si="10"/>
        <v>0</v>
      </c>
      <c r="X8" s="5">
        <f t="shared" si="0"/>
        <v>0</v>
      </c>
      <c r="Y8" s="6">
        <f t="shared" si="7"/>
        <v>0</v>
      </c>
      <c r="Z8" s="7">
        <f t="shared" si="8"/>
        <v>0</v>
      </c>
      <c r="AA8" s="6" t="e">
        <f t="shared" si="11"/>
        <v>#DIV/0!</v>
      </c>
    </row>
    <row r="9" spans="1:35" ht="33" customHeight="1" x14ac:dyDescent="0.25">
      <c r="A9" s="1">
        <v>3200</v>
      </c>
      <c r="B9" s="2" t="s">
        <v>6</v>
      </c>
      <c r="C9" s="2">
        <v>0</v>
      </c>
      <c r="D9" s="6">
        <v>0</v>
      </c>
      <c r="E9" s="7">
        <f t="shared" si="2"/>
        <v>0</v>
      </c>
      <c r="F9" s="5">
        <v>0</v>
      </c>
      <c r="G9" s="6">
        <v>0</v>
      </c>
      <c r="H9" s="7">
        <f t="shared" si="12"/>
        <v>0</v>
      </c>
      <c r="I9" s="5">
        <v>0</v>
      </c>
      <c r="J9" s="1">
        <v>0</v>
      </c>
      <c r="K9" s="7">
        <f t="shared" si="13"/>
        <v>0</v>
      </c>
      <c r="L9" s="7">
        <v>0</v>
      </c>
      <c r="M9" s="7">
        <v>0</v>
      </c>
      <c r="N9" s="7">
        <f t="shared" si="9"/>
        <v>0</v>
      </c>
      <c r="O9" s="7">
        <v>0</v>
      </c>
      <c r="P9" s="8">
        <v>0</v>
      </c>
      <c r="Q9" s="7">
        <f t="shared" si="5"/>
        <v>0</v>
      </c>
      <c r="R9" s="7">
        <v>0</v>
      </c>
      <c r="S9" s="7">
        <v>0</v>
      </c>
      <c r="T9" s="7">
        <f t="shared" si="14"/>
        <v>0</v>
      </c>
      <c r="U9" s="5">
        <v>0</v>
      </c>
      <c r="V9" s="6">
        <v>0</v>
      </c>
      <c r="W9" s="7">
        <f t="shared" si="10"/>
        <v>0</v>
      </c>
      <c r="X9" s="5">
        <f t="shared" si="0"/>
        <v>0</v>
      </c>
      <c r="Y9" s="6">
        <f t="shared" si="7"/>
        <v>0</v>
      </c>
      <c r="Z9" s="7">
        <f t="shared" si="8"/>
        <v>0</v>
      </c>
      <c r="AA9" s="6" t="e">
        <f t="shared" si="11"/>
        <v>#DIV/0!</v>
      </c>
    </row>
    <row r="10" spans="1:35" ht="33" customHeight="1" x14ac:dyDescent="0.3">
      <c r="A10" s="1">
        <v>3300</v>
      </c>
      <c r="B10" s="2" t="s">
        <v>7</v>
      </c>
      <c r="C10" s="36">
        <v>0</v>
      </c>
      <c r="D10" s="35">
        <v>0</v>
      </c>
      <c r="E10" s="7">
        <f t="shared" si="2"/>
        <v>0</v>
      </c>
      <c r="F10" s="2">
        <v>0</v>
      </c>
      <c r="G10" s="6">
        <v>0</v>
      </c>
      <c r="H10" s="7">
        <f t="shared" si="12"/>
        <v>0</v>
      </c>
      <c r="I10" s="5">
        <v>0</v>
      </c>
      <c r="J10" s="6">
        <v>0</v>
      </c>
      <c r="K10" s="7">
        <f t="shared" ref="K10:K16" si="15">J10-I10</f>
        <v>0</v>
      </c>
      <c r="L10" s="7">
        <v>0</v>
      </c>
      <c r="M10" s="7">
        <v>0</v>
      </c>
      <c r="N10" s="7">
        <f t="shared" si="9"/>
        <v>0</v>
      </c>
      <c r="O10" s="7">
        <v>0</v>
      </c>
      <c r="P10" s="8">
        <v>0</v>
      </c>
      <c r="Q10" s="7">
        <f t="shared" si="5"/>
        <v>0</v>
      </c>
      <c r="R10" s="7">
        <v>0</v>
      </c>
      <c r="S10" s="7">
        <v>0</v>
      </c>
      <c r="T10" s="7">
        <f t="shared" si="14"/>
        <v>0</v>
      </c>
      <c r="U10" s="5">
        <v>0</v>
      </c>
      <c r="V10" s="6">
        <v>0</v>
      </c>
      <c r="W10" s="7">
        <f t="shared" si="10"/>
        <v>0</v>
      </c>
      <c r="X10" s="5">
        <f t="shared" si="0"/>
        <v>0</v>
      </c>
      <c r="Y10" s="6">
        <f t="shared" si="7"/>
        <v>0</v>
      </c>
      <c r="Z10" s="7">
        <f t="shared" si="8"/>
        <v>0</v>
      </c>
      <c r="AA10" s="6" t="e">
        <f t="shared" si="11"/>
        <v>#DIV/0!</v>
      </c>
      <c r="AB10" s="34"/>
    </row>
    <row r="11" spans="1:35" ht="33" customHeight="1" x14ac:dyDescent="0.25">
      <c r="A11" s="1">
        <v>3600</v>
      </c>
      <c r="B11" s="9" t="s">
        <v>8</v>
      </c>
      <c r="C11" s="2">
        <v>0</v>
      </c>
      <c r="D11" s="6">
        <v>0</v>
      </c>
      <c r="E11" s="7">
        <f t="shared" si="2"/>
        <v>0</v>
      </c>
      <c r="F11" s="5">
        <v>0</v>
      </c>
      <c r="G11" s="6">
        <v>0</v>
      </c>
      <c r="H11" s="7">
        <f t="shared" si="12"/>
        <v>0</v>
      </c>
      <c r="I11" s="5">
        <v>0</v>
      </c>
      <c r="J11" s="6">
        <v>0</v>
      </c>
      <c r="K11" s="7">
        <f t="shared" si="15"/>
        <v>0</v>
      </c>
      <c r="L11" s="7">
        <v>0</v>
      </c>
      <c r="M11" s="7">
        <v>0</v>
      </c>
      <c r="N11" s="7">
        <f t="shared" si="9"/>
        <v>0</v>
      </c>
      <c r="O11" s="7">
        <v>0</v>
      </c>
      <c r="P11" s="8">
        <v>0</v>
      </c>
      <c r="Q11" s="7">
        <f t="shared" si="5"/>
        <v>0</v>
      </c>
      <c r="R11" s="7">
        <v>0</v>
      </c>
      <c r="S11" s="7">
        <v>0</v>
      </c>
      <c r="T11" s="7">
        <f t="shared" si="14"/>
        <v>0</v>
      </c>
      <c r="U11" s="5">
        <v>0</v>
      </c>
      <c r="V11" s="6">
        <v>0</v>
      </c>
      <c r="W11" s="7">
        <f t="shared" si="10"/>
        <v>0</v>
      </c>
      <c r="X11" s="5">
        <f t="shared" si="0"/>
        <v>0</v>
      </c>
      <c r="Y11" s="6">
        <f t="shared" si="7"/>
        <v>0</v>
      </c>
      <c r="Z11" s="7">
        <f t="shared" si="8"/>
        <v>0</v>
      </c>
      <c r="AA11" s="6" t="e">
        <f t="shared" si="11"/>
        <v>#DIV/0!</v>
      </c>
      <c r="AB11" s="37"/>
    </row>
    <row r="12" spans="1:35" ht="33" customHeight="1" x14ac:dyDescent="0.25">
      <c r="A12" s="1">
        <v>3700</v>
      </c>
      <c r="B12" s="9" t="s">
        <v>9</v>
      </c>
      <c r="C12" s="2">
        <v>0</v>
      </c>
      <c r="D12" s="6">
        <v>0</v>
      </c>
      <c r="E12" s="7">
        <f t="shared" si="2"/>
        <v>0</v>
      </c>
      <c r="F12" s="5">
        <v>0</v>
      </c>
      <c r="G12" s="6">
        <v>0</v>
      </c>
      <c r="H12" s="7">
        <f t="shared" si="12"/>
        <v>0</v>
      </c>
      <c r="I12" s="5">
        <v>0</v>
      </c>
      <c r="J12" s="6">
        <v>0</v>
      </c>
      <c r="K12" s="7">
        <f t="shared" si="15"/>
        <v>0</v>
      </c>
      <c r="L12" s="7">
        <v>0</v>
      </c>
      <c r="M12" s="7">
        <v>0</v>
      </c>
      <c r="N12" s="7">
        <f t="shared" si="9"/>
        <v>0</v>
      </c>
      <c r="O12" s="7">
        <v>0</v>
      </c>
      <c r="P12" s="8">
        <v>0</v>
      </c>
      <c r="Q12" s="7">
        <f t="shared" si="5"/>
        <v>0</v>
      </c>
      <c r="R12" s="7">
        <v>0</v>
      </c>
      <c r="S12" s="7">
        <v>0</v>
      </c>
      <c r="T12" s="7">
        <f t="shared" si="14"/>
        <v>0</v>
      </c>
      <c r="U12" s="5">
        <v>0</v>
      </c>
      <c r="V12" s="6">
        <v>0</v>
      </c>
      <c r="W12" s="7">
        <f t="shared" si="10"/>
        <v>0</v>
      </c>
      <c r="X12" s="5">
        <f t="shared" si="0"/>
        <v>0</v>
      </c>
      <c r="Y12" s="6">
        <f t="shared" si="7"/>
        <v>0</v>
      </c>
      <c r="Z12" s="7">
        <f t="shared" si="8"/>
        <v>0</v>
      </c>
      <c r="AA12" s="6" t="e">
        <f t="shared" si="11"/>
        <v>#DIV/0!</v>
      </c>
    </row>
    <row r="13" spans="1:35" ht="33" customHeight="1" x14ac:dyDescent="0.25">
      <c r="A13" s="1">
        <v>4100</v>
      </c>
      <c r="B13" s="2" t="s">
        <v>10</v>
      </c>
      <c r="C13" s="2"/>
      <c r="D13" s="6">
        <v>0</v>
      </c>
      <c r="E13" s="7">
        <f t="shared" si="2"/>
        <v>0</v>
      </c>
      <c r="F13" s="5">
        <v>1</v>
      </c>
      <c r="G13" s="6">
        <v>0</v>
      </c>
      <c r="H13" s="7"/>
      <c r="I13" s="5"/>
      <c r="J13" s="6">
        <v>0</v>
      </c>
      <c r="K13" s="7">
        <f t="shared" si="15"/>
        <v>0</v>
      </c>
      <c r="L13" s="7">
        <v>0</v>
      </c>
      <c r="M13" s="7">
        <v>0</v>
      </c>
      <c r="N13" s="7">
        <f t="shared" si="9"/>
        <v>0</v>
      </c>
      <c r="O13" s="7">
        <v>0</v>
      </c>
      <c r="P13" s="8">
        <v>0</v>
      </c>
      <c r="Q13" s="7">
        <f t="shared" si="5"/>
        <v>0</v>
      </c>
      <c r="R13" s="7">
        <v>0</v>
      </c>
      <c r="S13" s="7">
        <v>0</v>
      </c>
      <c r="T13" s="7">
        <f t="shared" si="14"/>
        <v>0</v>
      </c>
      <c r="U13" s="5">
        <v>0</v>
      </c>
      <c r="V13" s="6">
        <v>0</v>
      </c>
      <c r="W13" s="7">
        <f t="shared" si="10"/>
        <v>0</v>
      </c>
      <c r="X13" s="5">
        <f t="shared" si="0"/>
        <v>1</v>
      </c>
      <c r="Y13" s="6">
        <f t="shared" si="7"/>
        <v>0</v>
      </c>
      <c r="Z13" s="7">
        <f t="shared" si="8"/>
        <v>-1</v>
      </c>
      <c r="AA13" s="6">
        <f t="shared" si="11"/>
        <v>0</v>
      </c>
    </row>
    <row r="14" spans="1:35" ht="33" customHeight="1" x14ac:dyDescent="0.25">
      <c r="A14" s="1">
        <v>4200</v>
      </c>
      <c r="B14" s="2" t="s">
        <v>11</v>
      </c>
      <c r="C14" s="32">
        <v>5001</v>
      </c>
      <c r="D14" s="6">
        <v>2048</v>
      </c>
      <c r="E14" s="7">
        <f t="shared" si="2"/>
        <v>-2953</v>
      </c>
      <c r="F14" s="5">
        <v>0</v>
      </c>
      <c r="G14" s="6">
        <v>0</v>
      </c>
      <c r="H14" s="7">
        <f t="shared" si="12"/>
        <v>0</v>
      </c>
      <c r="I14" s="5">
        <v>0</v>
      </c>
      <c r="J14" s="6">
        <v>0</v>
      </c>
      <c r="K14" s="7">
        <f t="shared" si="15"/>
        <v>0</v>
      </c>
      <c r="L14" s="7">
        <v>0</v>
      </c>
      <c r="M14" s="7">
        <v>0</v>
      </c>
      <c r="N14" s="7">
        <f t="shared" si="9"/>
        <v>0</v>
      </c>
      <c r="O14" s="7">
        <v>0</v>
      </c>
      <c r="P14" s="8">
        <v>0</v>
      </c>
      <c r="Q14" s="7">
        <f t="shared" si="5"/>
        <v>0</v>
      </c>
      <c r="R14" s="7">
        <v>0</v>
      </c>
      <c r="S14" s="7">
        <v>0</v>
      </c>
      <c r="T14" s="7">
        <f t="shared" ref="T14:T15" si="16">S14-R14</f>
        <v>0</v>
      </c>
      <c r="U14" s="5">
        <v>0</v>
      </c>
      <c r="V14" s="6">
        <v>0</v>
      </c>
      <c r="W14" s="7">
        <f t="shared" si="10"/>
        <v>0</v>
      </c>
      <c r="X14" s="5">
        <f t="shared" si="0"/>
        <v>5001</v>
      </c>
      <c r="Y14" s="6">
        <f t="shared" si="7"/>
        <v>2048</v>
      </c>
      <c r="Z14" s="7">
        <f t="shared" si="8"/>
        <v>-2953</v>
      </c>
      <c r="AA14" s="6">
        <f t="shared" si="11"/>
        <v>40.951809638072383</v>
      </c>
    </row>
    <row r="15" spans="1:35" ht="33" customHeight="1" x14ac:dyDescent="0.25">
      <c r="A15" s="1">
        <v>5100</v>
      </c>
      <c r="B15" s="2" t="s">
        <v>35</v>
      </c>
      <c r="C15" s="2">
        <v>0</v>
      </c>
      <c r="D15" s="6">
        <v>0</v>
      </c>
      <c r="E15" s="7">
        <f t="shared" si="2"/>
        <v>0</v>
      </c>
      <c r="F15" s="5">
        <v>0</v>
      </c>
      <c r="G15" s="5">
        <v>0</v>
      </c>
      <c r="H15" s="5">
        <f t="shared" si="12"/>
        <v>0</v>
      </c>
      <c r="I15" s="5">
        <v>0</v>
      </c>
      <c r="J15" s="6">
        <v>0</v>
      </c>
      <c r="K15" s="16">
        <f>J15-I15</f>
        <v>0</v>
      </c>
      <c r="L15" s="7">
        <v>0</v>
      </c>
      <c r="M15" s="7">
        <v>0</v>
      </c>
      <c r="N15" s="7">
        <f t="shared" si="9"/>
        <v>0</v>
      </c>
      <c r="O15" s="7">
        <v>0</v>
      </c>
      <c r="P15" s="8">
        <v>0</v>
      </c>
      <c r="Q15" s="7"/>
      <c r="R15" s="7">
        <v>0</v>
      </c>
      <c r="S15" s="7">
        <v>0</v>
      </c>
      <c r="T15" s="7">
        <f t="shared" si="16"/>
        <v>0</v>
      </c>
      <c r="U15" s="5">
        <v>0</v>
      </c>
      <c r="V15" s="6">
        <v>0</v>
      </c>
      <c r="W15" s="7">
        <f t="shared" si="10"/>
        <v>0</v>
      </c>
      <c r="X15" s="5">
        <f t="shared" si="0"/>
        <v>0</v>
      </c>
      <c r="Y15" s="6">
        <f t="shared" si="7"/>
        <v>0</v>
      </c>
      <c r="Z15" s="7">
        <f t="shared" si="8"/>
        <v>0</v>
      </c>
      <c r="AA15" s="6" t="e">
        <f t="shared" si="11"/>
        <v>#DIV/0!</v>
      </c>
    </row>
    <row r="16" spans="1:35" ht="33" customHeight="1" x14ac:dyDescent="0.25">
      <c r="A16" s="3">
        <v>5300</v>
      </c>
      <c r="B16" s="2" t="s">
        <v>34</v>
      </c>
      <c r="C16" s="2">
        <v>446600</v>
      </c>
      <c r="D16" s="6">
        <v>284479</v>
      </c>
      <c r="E16" s="7">
        <f t="shared" si="2"/>
        <v>-162121</v>
      </c>
      <c r="F16" s="5">
        <v>0</v>
      </c>
      <c r="G16" s="6">
        <v>0</v>
      </c>
      <c r="H16" s="7">
        <f t="shared" si="12"/>
        <v>0</v>
      </c>
      <c r="I16" s="5">
        <v>0</v>
      </c>
      <c r="J16" s="6">
        <v>0</v>
      </c>
      <c r="K16" s="7">
        <f t="shared" si="15"/>
        <v>0</v>
      </c>
      <c r="L16" s="7">
        <v>0</v>
      </c>
      <c r="M16" s="7">
        <v>0</v>
      </c>
      <c r="N16" s="7">
        <f t="shared" ref="N16:N20" si="17">M16-L16</f>
        <v>0</v>
      </c>
      <c r="O16" s="7">
        <v>0</v>
      </c>
      <c r="P16" s="8">
        <v>0</v>
      </c>
      <c r="Q16" s="7">
        <f t="shared" si="5"/>
        <v>0</v>
      </c>
      <c r="R16" s="7">
        <v>0</v>
      </c>
      <c r="S16" s="7">
        <v>0</v>
      </c>
      <c r="T16" s="7">
        <f t="shared" ref="T16:T20" si="18">S16-R16</f>
        <v>0</v>
      </c>
      <c r="U16" s="5">
        <v>0</v>
      </c>
      <c r="V16" s="6">
        <v>0</v>
      </c>
      <c r="W16" s="7">
        <f t="shared" si="10"/>
        <v>0</v>
      </c>
      <c r="X16" s="5">
        <f t="shared" si="0"/>
        <v>446600</v>
      </c>
      <c r="Y16" s="6">
        <f t="shared" si="7"/>
        <v>284479</v>
      </c>
      <c r="Z16" s="7">
        <f t="shared" si="8"/>
        <v>-162121</v>
      </c>
      <c r="AA16" s="6">
        <f t="shared" si="11"/>
        <v>63.698835647111508</v>
      </c>
    </row>
    <row r="17" spans="1:34" ht="33" customHeight="1" x14ac:dyDescent="0.25">
      <c r="A17" s="1">
        <v>6200</v>
      </c>
      <c r="B17" s="2" t="s">
        <v>12</v>
      </c>
      <c r="C17" s="2">
        <v>0</v>
      </c>
      <c r="D17" s="6">
        <v>0</v>
      </c>
      <c r="E17" s="7">
        <f t="shared" si="2"/>
        <v>0</v>
      </c>
      <c r="F17" s="5">
        <v>0</v>
      </c>
      <c r="G17" s="6">
        <v>0</v>
      </c>
      <c r="H17" s="7">
        <f t="shared" si="12"/>
        <v>0</v>
      </c>
      <c r="I17" s="5">
        <v>0</v>
      </c>
      <c r="J17" s="6">
        <v>0</v>
      </c>
      <c r="K17" s="7">
        <f>J17-I17</f>
        <v>0</v>
      </c>
      <c r="L17" s="7">
        <v>0</v>
      </c>
      <c r="M17" s="7">
        <v>0</v>
      </c>
      <c r="N17" s="7">
        <f t="shared" si="17"/>
        <v>0</v>
      </c>
      <c r="O17" s="7">
        <v>0</v>
      </c>
      <c r="P17" s="8">
        <v>0</v>
      </c>
      <c r="Q17" s="7">
        <f t="shared" si="5"/>
        <v>0</v>
      </c>
      <c r="R17" s="7">
        <v>0</v>
      </c>
      <c r="S17" s="7">
        <v>0</v>
      </c>
      <c r="T17" s="7">
        <f t="shared" si="18"/>
        <v>0</v>
      </c>
      <c r="U17" s="5">
        <v>0</v>
      </c>
      <c r="V17" s="6">
        <v>0</v>
      </c>
      <c r="W17" s="7">
        <f t="shared" si="10"/>
        <v>0</v>
      </c>
      <c r="X17" s="5">
        <f t="shared" si="0"/>
        <v>0</v>
      </c>
      <c r="Y17" s="6">
        <f t="shared" si="7"/>
        <v>0</v>
      </c>
      <c r="Z17" s="7">
        <f t="shared" si="8"/>
        <v>0</v>
      </c>
      <c r="AA17" s="6" t="e">
        <f t="shared" si="11"/>
        <v>#DIV/0!</v>
      </c>
    </row>
    <row r="18" spans="1:34" ht="33" customHeight="1" x14ac:dyDescent="0.25">
      <c r="A18" s="1">
        <v>6400</v>
      </c>
      <c r="B18" s="2" t="s">
        <v>13</v>
      </c>
      <c r="C18" s="2">
        <v>0</v>
      </c>
      <c r="D18" s="6">
        <v>0</v>
      </c>
      <c r="E18" s="7">
        <f t="shared" si="2"/>
        <v>0</v>
      </c>
      <c r="F18" s="5">
        <v>0</v>
      </c>
      <c r="G18" s="6">
        <v>0</v>
      </c>
      <c r="H18" s="7">
        <f>G18-F18</f>
        <v>0</v>
      </c>
      <c r="I18" s="5">
        <v>0</v>
      </c>
      <c r="J18" s="6">
        <v>0</v>
      </c>
      <c r="K18" s="7">
        <f>J18-I18</f>
        <v>0</v>
      </c>
      <c r="L18" s="7">
        <v>0</v>
      </c>
      <c r="M18" s="7">
        <v>0</v>
      </c>
      <c r="N18" s="7">
        <f t="shared" si="17"/>
        <v>0</v>
      </c>
      <c r="O18" s="7">
        <v>0</v>
      </c>
      <c r="P18" s="8">
        <v>0</v>
      </c>
      <c r="Q18" s="7">
        <f t="shared" si="5"/>
        <v>0</v>
      </c>
      <c r="R18" s="7">
        <v>0</v>
      </c>
      <c r="S18" s="7">
        <v>0</v>
      </c>
      <c r="T18" s="7">
        <f t="shared" si="18"/>
        <v>0</v>
      </c>
      <c r="U18" s="5">
        <v>0</v>
      </c>
      <c r="V18" s="10">
        <v>0</v>
      </c>
      <c r="W18" s="7">
        <f t="shared" si="10"/>
        <v>0</v>
      </c>
      <c r="X18" s="5">
        <f t="shared" si="0"/>
        <v>0</v>
      </c>
      <c r="Y18" s="6">
        <f t="shared" si="7"/>
        <v>0</v>
      </c>
      <c r="Z18" s="7">
        <f t="shared" si="8"/>
        <v>0</v>
      </c>
      <c r="AA18" s="6" t="e">
        <f t="shared" si="11"/>
        <v>#DIV/0!</v>
      </c>
    </row>
    <row r="19" spans="1:34" x14ac:dyDescent="0.25">
      <c r="A19" s="1"/>
      <c r="B19" s="2" t="s">
        <v>14</v>
      </c>
      <c r="C19" s="2">
        <v>0</v>
      </c>
      <c r="D19" s="6">
        <v>0</v>
      </c>
      <c r="E19" s="7">
        <f t="shared" si="2"/>
        <v>0</v>
      </c>
      <c r="F19" s="5">
        <v>0</v>
      </c>
      <c r="G19" s="6">
        <v>0</v>
      </c>
      <c r="H19" s="7">
        <f>G19-F19</f>
        <v>0</v>
      </c>
      <c r="I19" s="5">
        <v>0</v>
      </c>
      <c r="J19" s="6">
        <v>0</v>
      </c>
      <c r="K19" s="7">
        <f>J19-I19</f>
        <v>0</v>
      </c>
      <c r="L19" s="7">
        <v>0</v>
      </c>
      <c r="M19" s="7">
        <v>0</v>
      </c>
      <c r="N19" s="7">
        <f t="shared" si="17"/>
        <v>0</v>
      </c>
      <c r="O19" s="7">
        <v>0</v>
      </c>
      <c r="P19" s="8">
        <v>0</v>
      </c>
      <c r="Q19" s="7">
        <f t="shared" si="5"/>
        <v>0</v>
      </c>
      <c r="R19" s="7">
        <v>0</v>
      </c>
      <c r="S19" s="7">
        <v>0</v>
      </c>
      <c r="T19" s="7">
        <f t="shared" si="18"/>
        <v>0</v>
      </c>
      <c r="U19" s="5">
        <v>0</v>
      </c>
      <c r="V19" s="10">
        <v>0</v>
      </c>
      <c r="W19" s="7">
        <f t="shared" si="10"/>
        <v>0</v>
      </c>
      <c r="X19" s="5">
        <f t="shared" si="0"/>
        <v>0</v>
      </c>
      <c r="Y19" s="6">
        <f t="shared" si="7"/>
        <v>0</v>
      </c>
      <c r="Z19" s="7">
        <f t="shared" si="8"/>
        <v>0</v>
      </c>
      <c r="AA19" s="6" t="e">
        <f t="shared" si="11"/>
        <v>#DIV/0!</v>
      </c>
    </row>
    <row r="20" spans="1:34" ht="33" customHeight="1" x14ac:dyDescent="0.25">
      <c r="A20" s="1">
        <v>6500</v>
      </c>
      <c r="B20" s="2" t="s">
        <v>15</v>
      </c>
      <c r="C20" s="2"/>
      <c r="D20" s="6">
        <v>0</v>
      </c>
      <c r="E20" s="7">
        <f t="shared" si="2"/>
        <v>0</v>
      </c>
      <c r="F20" s="5">
        <v>0</v>
      </c>
      <c r="G20" s="6">
        <v>0</v>
      </c>
      <c r="H20" s="7">
        <v>0</v>
      </c>
      <c r="I20" s="5">
        <v>0</v>
      </c>
      <c r="J20" s="6">
        <v>0</v>
      </c>
      <c r="K20" s="7">
        <v>0</v>
      </c>
      <c r="L20" s="7">
        <v>0</v>
      </c>
      <c r="M20" s="7">
        <v>0</v>
      </c>
      <c r="N20" s="7">
        <f t="shared" si="17"/>
        <v>0</v>
      </c>
      <c r="O20" s="7">
        <v>0</v>
      </c>
      <c r="P20" s="8">
        <v>0</v>
      </c>
      <c r="Q20" s="7">
        <f t="shared" si="5"/>
        <v>0</v>
      </c>
      <c r="R20" s="7">
        <v>0</v>
      </c>
      <c r="S20" s="7">
        <v>0</v>
      </c>
      <c r="T20" s="7">
        <f t="shared" si="18"/>
        <v>0</v>
      </c>
      <c r="U20" s="5">
        <v>0</v>
      </c>
      <c r="V20" s="6">
        <v>0</v>
      </c>
      <c r="W20" s="7">
        <f t="shared" si="10"/>
        <v>0</v>
      </c>
      <c r="X20" s="5">
        <f t="shared" ref="X20:X21" si="19">C20+F20+I20+L20+O20+U20+R20</f>
        <v>0</v>
      </c>
      <c r="Y20" s="6">
        <f t="shared" si="7"/>
        <v>0</v>
      </c>
      <c r="Z20" s="7">
        <f t="shared" si="8"/>
        <v>0</v>
      </c>
      <c r="AA20" s="6" t="e">
        <f t="shared" si="11"/>
        <v>#DIV/0!</v>
      </c>
      <c r="AH20" t="s">
        <v>40</v>
      </c>
    </row>
    <row r="21" spans="1:34" ht="33" customHeight="1" x14ac:dyDescent="0.25">
      <c r="A21" s="46" t="s">
        <v>16</v>
      </c>
      <c r="B21" s="47"/>
      <c r="C21" s="2">
        <f>SUM(C4:C20)</f>
        <v>451601</v>
      </c>
      <c r="D21" s="1">
        <f>SUM(D4:D20)</f>
        <v>286527</v>
      </c>
      <c r="E21" s="7">
        <f t="shared" ref="E21" si="20">D21-C21</f>
        <v>-165074</v>
      </c>
      <c r="F21" s="2">
        <f>SUM(F4:F20)</f>
        <v>1</v>
      </c>
      <c r="G21" s="1">
        <f>SUM(G4:G20)</f>
        <v>0</v>
      </c>
      <c r="H21" s="7">
        <f t="shared" ref="H21" si="21">G21-F21</f>
        <v>-1</v>
      </c>
      <c r="I21" s="2">
        <f>SUM(I4:I20)</f>
        <v>0</v>
      </c>
      <c r="J21" s="1">
        <f>SUM(J4:J20)</f>
        <v>0</v>
      </c>
      <c r="K21" s="7">
        <f t="shared" ref="K21" si="22">J21-I21</f>
        <v>0</v>
      </c>
      <c r="L21" s="2">
        <f>SUM(L4:L20)</f>
        <v>0</v>
      </c>
      <c r="M21" s="2">
        <f>SUM(M4:M20)</f>
        <v>0</v>
      </c>
      <c r="N21" s="7">
        <f t="shared" ref="N21" si="23">M21-L21</f>
        <v>0</v>
      </c>
      <c r="O21" s="1">
        <f>SUM(O4:O20)</f>
        <v>0</v>
      </c>
      <c r="P21" s="1">
        <f>SUM(P4:P20)</f>
        <v>0</v>
      </c>
      <c r="Q21" s="7">
        <f>P21-O21</f>
        <v>0</v>
      </c>
      <c r="R21" s="7">
        <v>0</v>
      </c>
      <c r="S21" s="1">
        <f>SUM(S4:S20)</f>
        <v>0</v>
      </c>
      <c r="T21" s="1">
        <f>SUM(T4:T20)</f>
        <v>0</v>
      </c>
      <c r="U21" s="2">
        <f>SUM(U4:U20)</f>
        <v>1</v>
      </c>
      <c r="V21" s="1">
        <f>SUM(V4:V20)</f>
        <v>127</v>
      </c>
      <c r="W21" s="7">
        <f>V21-U21</f>
        <v>126</v>
      </c>
      <c r="X21" s="5">
        <f t="shared" si="19"/>
        <v>451603</v>
      </c>
      <c r="Y21" s="6">
        <f t="shared" si="7"/>
        <v>286654</v>
      </c>
      <c r="Z21" s="7">
        <f t="shared" si="8"/>
        <v>-164949</v>
      </c>
      <c r="AA21" s="6">
        <f t="shared" si="11"/>
        <v>63.474777625480783</v>
      </c>
    </row>
    <row r="22" spans="1:34" x14ac:dyDescent="0.25">
      <c r="A22" s="19"/>
      <c r="B22" s="19"/>
      <c r="C22" s="19"/>
      <c r="D22" s="18"/>
      <c r="E22" s="20"/>
      <c r="F22" s="19"/>
      <c r="G22" s="18"/>
      <c r="H22" s="20"/>
      <c r="I22" s="19"/>
      <c r="J22" s="18"/>
      <c r="K22" s="20"/>
      <c r="L22" s="19"/>
      <c r="M22" s="19"/>
      <c r="N22" s="20"/>
      <c r="O22" s="18"/>
      <c r="P22" s="18"/>
      <c r="Q22" s="20"/>
      <c r="R22" s="18"/>
      <c r="S22" s="18"/>
      <c r="T22" s="18"/>
      <c r="U22" s="19"/>
      <c r="V22" s="18"/>
      <c r="W22" s="20"/>
      <c r="X22" s="19"/>
      <c r="Y22" s="18"/>
      <c r="Z22" s="20"/>
    </row>
    <row r="23" spans="1:34" x14ac:dyDescent="0.25">
      <c r="B23" s="17" t="s">
        <v>25</v>
      </c>
    </row>
    <row r="24" spans="1:34" x14ac:dyDescent="0.25">
      <c r="B24" s="17" t="s">
        <v>26</v>
      </c>
      <c r="W24" s="17" t="s">
        <v>27</v>
      </c>
    </row>
    <row r="25" spans="1:34" x14ac:dyDescent="0.25">
      <c r="B25" s="17" t="s">
        <v>28</v>
      </c>
      <c r="W25" s="17" t="s">
        <v>29</v>
      </c>
    </row>
    <row r="27" spans="1:34" x14ac:dyDescent="0.25">
      <c r="J27" s="17" t="s">
        <v>39</v>
      </c>
    </row>
    <row r="36" spans="1:27" x14ac:dyDescent="0.25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t="s">
        <v>36</v>
      </c>
    </row>
    <row r="37" spans="1:27" x14ac:dyDescent="0.2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7" x14ac:dyDescent="0.25">
      <c r="A38" s="26"/>
      <c r="B38" s="26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7" x14ac:dyDescent="0.25">
      <c r="A39" s="22"/>
      <c r="B39" s="21"/>
      <c r="C39" s="21"/>
      <c r="D39" s="22"/>
      <c r="E39" s="20"/>
      <c r="F39" s="21"/>
      <c r="G39" s="22"/>
      <c r="H39" s="20"/>
      <c r="I39" s="21"/>
      <c r="J39" s="22"/>
      <c r="K39" s="20"/>
      <c r="L39" s="20"/>
      <c r="M39" s="20"/>
      <c r="N39" s="20"/>
      <c r="O39" s="20"/>
      <c r="P39" s="23"/>
      <c r="Q39" s="20"/>
      <c r="R39" s="20"/>
      <c r="S39" s="20"/>
      <c r="T39" s="20"/>
      <c r="U39" s="21"/>
      <c r="V39" s="22"/>
      <c r="W39" s="20"/>
      <c r="X39" s="21"/>
      <c r="Y39" s="22"/>
      <c r="Z39" s="20"/>
    </row>
    <row r="40" spans="1:27" x14ac:dyDescent="0.25">
      <c r="A40" s="22"/>
      <c r="B40" s="21"/>
      <c r="C40" s="21"/>
      <c r="D40" s="22"/>
      <c r="E40" s="20"/>
      <c r="F40" s="21"/>
      <c r="G40" s="22"/>
      <c r="H40" s="20"/>
      <c r="I40" s="21"/>
      <c r="J40" s="22"/>
      <c r="K40" s="20"/>
      <c r="L40" s="20"/>
      <c r="M40" s="20"/>
      <c r="N40" s="20"/>
      <c r="O40" s="20"/>
      <c r="P40" s="23"/>
      <c r="Q40" s="20"/>
      <c r="R40" s="20"/>
      <c r="S40" s="20"/>
      <c r="T40" s="20"/>
      <c r="U40" s="21"/>
      <c r="V40" s="22"/>
      <c r="W40" s="20"/>
      <c r="X40" s="21"/>
      <c r="Y40" s="22"/>
      <c r="Z40" s="20"/>
    </row>
    <row r="41" spans="1:27" x14ac:dyDescent="0.25">
      <c r="A41" s="22"/>
      <c r="B41" s="21"/>
      <c r="C41" s="21"/>
      <c r="D41" s="22"/>
      <c r="E41" s="20"/>
      <c r="F41" s="21"/>
      <c r="G41" s="22"/>
      <c r="H41" s="20"/>
      <c r="I41" s="21"/>
      <c r="J41" s="22"/>
      <c r="K41" s="20"/>
      <c r="L41" s="20"/>
      <c r="M41" s="20"/>
      <c r="N41" s="20"/>
      <c r="O41" s="20"/>
      <c r="P41" s="23"/>
      <c r="Q41" s="20"/>
      <c r="R41" s="20"/>
      <c r="S41" s="20"/>
      <c r="T41" s="20"/>
      <c r="U41" s="21"/>
      <c r="V41" s="22"/>
      <c r="W41" s="20"/>
      <c r="X41" s="21"/>
      <c r="Y41" s="22"/>
      <c r="Z41" s="20"/>
    </row>
    <row r="42" spans="1:27" x14ac:dyDescent="0.25">
      <c r="A42" s="22"/>
      <c r="B42" s="21"/>
      <c r="C42" s="21"/>
      <c r="D42" s="22"/>
      <c r="E42" s="20"/>
      <c r="F42" s="21"/>
      <c r="G42" s="22"/>
      <c r="H42" s="20"/>
      <c r="I42" s="21"/>
      <c r="J42" s="22"/>
      <c r="K42" s="20"/>
      <c r="L42" s="20"/>
      <c r="M42" s="20"/>
      <c r="N42" s="20"/>
      <c r="O42" s="20"/>
      <c r="P42" s="23"/>
      <c r="Q42" s="20"/>
      <c r="R42" s="20"/>
      <c r="S42" s="20"/>
      <c r="T42" s="20"/>
      <c r="U42" s="21"/>
      <c r="V42" s="22"/>
      <c r="W42" s="20"/>
      <c r="X42" s="21"/>
      <c r="Y42" s="22"/>
      <c r="Z42" s="20"/>
    </row>
    <row r="43" spans="1:27" x14ac:dyDescent="0.25">
      <c r="A43" s="22"/>
      <c r="B43" s="21"/>
      <c r="C43" s="21"/>
      <c r="D43" s="22"/>
      <c r="E43" s="20"/>
      <c r="F43" s="21"/>
      <c r="G43" s="22"/>
      <c r="H43" s="20"/>
      <c r="I43" s="21"/>
      <c r="J43" s="22"/>
      <c r="K43" s="20"/>
      <c r="L43" s="20"/>
      <c r="M43" s="20"/>
      <c r="N43" s="20"/>
      <c r="O43" s="20"/>
      <c r="P43" s="23"/>
      <c r="Q43" s="20"/>
      <c r="R43" s="20"/>
      <c r="S43" s="20"/>
      <c r="T43" s="20"/>
      <c r="U43" s="22"/>
      <c r="V43" s="22"/>
      <c r="W43" s="20"/>
      <c r="X43" s="21"/>
      <c r="Y43" s="22"/>
      <c r="Z43" s="20"/>
    </row>
    <row r="44" spans="1:27" x14ac:dyDescent="0.25">
      <c r="A44" s="22"/>
      <c r="B44" s="21"/>
      <c r="C44" s="21"/>
      <c r="D44" s="22"/>
      <c r="E44" s="20"/>
      <c r="F44" s="21"/>
      <c r="G44" s="22"/>
      <c r="H44" s="20"/>
      <c r="I44" s="21"/>
      <c r="J44" s="22"/>
      <c r="K44" s="20"/>
      <c r="L44" s="20"/>
      <c r="M44" s="20"/>
      <c r="N44" s="20"/>
      <c r="O44" s="20"/>
      <c r="P44" s="23"/>
      <c r="Q44" s="20"/>
      <c r="R44" s="20"/>
      <c r="S44" s="20"/>
      <c r="T44" s="20"/>
      <c r="U44" s="21"/>
      <c r="V44" s="22"/>
      <c r="W44" s="20"/>
      <c r="X44" s="21"/>
      <c r="Y44" s="22"/>
      <c r="Z44" s="20"/>
    </row>
    <row r="45" spans="1:27" x14ac:dyDescent="0.25">
      <c r="A45" s="22"/>
      <c r="B45" s="21"/>
      <c r="C45" s="21"/>
      <c r="D45" s="22"/>
      <c r="E45" s="20"/>
      <c r="F45" s="21"/>
      <c r="G45" s="22"/>
      <c r="H45" s="20"/>
      <c r="I45" s="21"/>
      <c r="J45" s="22"/>
      <c r="K45" s="20"/>
      <c r="L45" s="20"/>
      <c r="M45" s="20"/>
      <c r="N45" s="20"/>
      <c r="O45" s="20"/>
      <c r="P45" s="23"/>
      <c r="Q45" s="20"/>
      <c r="R45" s="20"/>
      <c r="S45" s="20"/>
      <c r="T45" s="20"/>
      <c r="U45" s="21"/>
      <c r="V45" s="22"/>
      <c r="W45" s="20"/>
      <c r="X45" s="21"/>
      <c r="Y45" s="22"/>
      <c r="Z45" s="20"/>
    </row>
    <row r="46" spans="1:27" x14ac:dyDescent="0.25">
      <c r="A46" s="22"/>
      <c r="B46" s="27"/>
      <c r="C46" s="21"/>
      <c r="D46" s="22"/>
      <c r="E46" s="20"/>
      <c r="F46" s="21"/>
      <c r="G46" s="22"/>
      <c r="H46" s="20"/>
      <c r="I46" s="21"/>
      <c r="J46" s="22"/>
      <c r="K46" s="20"/>
      <c r="L46" s="20"/>
      <c r="M46" s="20"/>
      <c r="N46" s="20"/>
      <c r="O46" s="20"/>
      <c r="P46" s="23"/>
      <c r="Q46" s="20"/>
      <c r="R46" s="20"/>
      <c r="S46" s="20"/>
      <c r="T46" s="20"/>
      <c r="U46" s="21"/>
      <c r="V46" s="22"/>
      <c r="W46" s="20"/>
      <c r="X46" s="21"/>
      <c r="Y46" s="22"/>
      <c r="Z46" s="20"/>
    </row>
    <row r="47" spans="1:27" x14ac:dyDescent="0.25">
      <c r="A47" s="22"/>
      <c r="B47" s="27"/>
      <c r="C47" s="21"/>
      <c r="D47" s="22"/>
      <c r="E47" s="20"/>
      <c r="F47" s="21"/>
      <c r="G47" s="22"/>
      <c r="H47" s="20"/>
      <c r="I47" s="21"/>
      <c r="J47" s="22"/>
      <c r="K47" s="20"/>
      <c r="L47" s="20"/>
      <c r="M47" s="20"/>
      <c r="N47" s="20"/>
      <c r="O47" s="20"/>
      <c r="P47" s="23"/>
      <c r="Q47" s="20"/>
      <c r="R47" s="20"/>
      <c r="S47" s="20"/>
      <c r="T47" s="20"/>
      <c r="U47" s="21"/>
      <c r="V47" s="22"/>
      <c r="W47" s="20"/>
      <c r="X47" s="21"/>
      <c r="Y47" s="22"/>
      <c r="Z47" s="20"/>
    </row>
    <row r="48" spans="1:27" x14ac:dyDescent="0.25">
      <c r="A48" s="22"/>
      <c r="B48" s="21"/>
      <c r="C48" s="21"/>
      <c r="D48" s="22"/>
      <c r="E48" s="20"/>
      <c r="F48" s="21"/>
      <c r="G48" s="22"/>
      <c r="H48" s="20"/>
      <c r="I48" s="21"/>
      <c r="J48" s="22"/>
      <c r="K48" s="20"/>
      <c r="L48" s="20"/>
      <c r="M48" s="20"/>
      <c r="N48" s="20"/>
      <c r="O48" s="20"/>
      <c r="P48" s="23"/>
      <c r="Q48" s="20"/>
      <c r="R48" s="20"/>
      <c r="S48" s="20"/>
      <c r="T48" s="20"/>
      <c r="U48" s="21"/>
      <c r="V48" s="22"/>
      <c r="W48" s="20"/>
      <c r="X48" s="21"/>
      <c r="Y48" s="22"/>
      <c r="Z48" s="20"/>
    </row>
    <row r="49" spans="1:26" x14ac:dyDescent="0.25">
      <c r="A49" s="22"/>
      <c r="B49" s="21"/>
      <c r="C49" s="21"/>
      <c r="D49" s="22"/>
      <c r="E49" s="20"/>
      <c r="F49" s="21"/>
      <c r="G49" s="22"/>
      <c r="H49" s="20"/>
      <c r="I49" s="21"/>
      <c r="J49" s="22"/>
      <c r="K49" s="20"/>
      <c r="L49" s="20"/>
      <c r="M49" s="20">
        <f>SUM(M6:M48)</f>
        <v>0</v>
      </c>
      <c r="N49" s="20"/>
      <c r="O49" s="20"/>
      <c r="P49" s="23"/>
      <c r="Q49" s="20"/>
      <c r="R49" s="20"/>
      <c r="S49" s="20"/>
      <c r="T49" s="20"/>
      <c r="U49" s="21"/>
      <c r="V49" s="22"/>
      <c r="W49" s="20"/>
      <c r="X49" s="21"/>
      <c r="Y49" s="22"/>
      <c r="Z49" s="20"/>
    </row>
    <row r="50" spans="1:26" x14ac:dyDescent="0.25">
      <c r="A50" s="22"/>
      <c r="B50" s="21"/>
      <c r="C50" s="21"/>
      <c r="D50" s="22"/>
      <c r="E50" s="20"/>
      <c r="F50" s="21"/>
      <c r="G50" s="21"/>
      <c r="H50" s="21"/>
      <c r="I50" s="21"/>
      <c r="J50" s="22"/>
      <c r="K50" s="24"/>
      <c r="L50" s="20"/>
      <c r="M50" s="20"/>
      <c r="N50" s="20"/>
      <c r="O50" s="20"/>
      <c r="P50" s="23"/>
      <c r="Q50" s="20"/>
      <c r="R50" s="20"/>
      <c r="S50" s="20"/>
      <c r="T50" s="20"/>
      <c r="U50" s="21"/>
      <c r="V50" s="22"/>
      <c r="W50" s="20"/>
      <c r="X50" s="21"/>
      <c r="Y50" s="22"/>
      <c r="Z50" s="20"/>
    </row>
    <row r="51" spans="1:26" x14ac:dyDescent="0.25">
      <c r="A51" s="22"/>
      <c r="B51" s="21"/>
      <c r="C51" s="21"/>
      <c r="D51" s="22"/>
      <c r="E51" s="20"/>
      <c r="F51" s="21"/>
      <c r="G51" s="22"/>
      <c r="H51" s="20"/>
      <c r="I51" s="21"/>
      <c r="J51" s="22"/>
      <c r="K51" s="20"/>
      <c r="L51" s="20"/>
      <c r="M51" s="20"/>
      <c r="N51" s="20"/>
      <c r="O51" s="20"/>
      <c r="P51" s="23"/>
      <c r="Q51" s="20"/>
      <c r="R51" s="20"/>
      <c r="S51" s="20"/>
      <c r="T51" s="20"/>
      <c r="U51" s="21"/>
      <c r="V51" s="22"/>
      <c r="W51" s="20"/>
      <c r="X51" s="21"/>
      <c r="Y51" s="22"/>
      <c r="Z51" s="20"/>
    </row>
    <row r="52" spans="1:26" x14ac:dyDescent="0.25">
      <c r="A52" s="22"/>
      <c r="B52" s="21"/>
      <c r="C52" s="21"/>
      <c r="D52" s="22"/>
      <c r="E52" s="20"/>
      <c r="F52" s="21"/>
      <c r="G52" s="22"/>
      <c r="H52" s="20"/>
      <c r="I52" s="21"/>
      <c r="J52" s="22"/>
      <c r="K52" s="20"/>
      <c r="L52" s="20"/>
      <c r="M52" s="20"/>
      <c r="N52" s="20"/>
      <c r="O52" s="20"/>
      <c r="P52" s="23"/>
      <c r="Q52" s="20"/>
      <c r="R52" s="20"/>
      <c r="S52" s="20"/>
      <c r="T52" s="20"/>
      <c r="U52" s="21"/>
      <c r="V52" s="22"/>
      <c r="W52" s="20"/>
      <c r="X52" s="21"/>
      <c r="Y52" s="22"/>
      <c r="Z52" s="20"/>
    </row>
    <row r="53" spans="1:26" x14ac:dyDescent="0.25">
      <c r="A53" s="22"/>
      <c r="B53" s="21"/>
      <c r="C53" s="21"/>
      <c r="D53" s="22"/>
      <c r="E53" s="20"/>
      <c r="F53" s="21"/>
      <c r="G53" s="22"/>
      <c r="H53" s="20"/>
      <c r="I53" s="21"/>
      <c r="J53" s="22"/>
      <c r="K53" s="20"/>
      <c r="L53" s="20"/>
      <c r="M53" s="20"/>
      <c r="N53" s="20"/>
      <c r="O53" s="20"/>
      <c r="P53" s="23"/>
      <c r="Q53" s="20"/>
      <c r="R53" s="20"/>
      <c r="S53" s="20"/>
      <c r="T53" s="20"/>
      <c r="U53" s="21"/>
      <c r="V53" s="25"/>
      <c r="W53" s="20"/>
      <c r="X53" s="21"/>
      <c r="Y53" s="22"/>
      <c r="Z53" s="20"/>
    </row>
    <row r="54" spans="1:26" x14ac:dyDescent="0.25">
      <c r="A54" s="22"/>
      <c r="B54" s="21"/>
      <c r="C54" s="21"/>
      <c r="D54" s="22"/>
      <c r="E54" s="20"/>
      <c r="F54" s="21"/>
      <c r="G54" s="22"/>
      <c r="H54" s="20"/>
      <c r="I54" s="21"/>
      <c r="J54" s="22"/>
      <c r="K54" s="20"/>
      <c r="L54" s="20"/>
      <c r="M54" s="20"/>
      <c r="N54" s="20"/>
      <c r="O54" s="20"/>
      <c r="P54" s="23"/>
      <c r="Q54" s="20"/>
      <c r="R54" s="20"/>
      <c r="S54" s="20"/>
      <c r="T54" s="20"/>
      <c r="U54" s="21"/>
      <c r="V54" s="25"/>
      <c r="W54" s="20"/>
      <c r="X54" s="21"/>
      <c r="Y54" s="22"/>
      <c r="Z54" s="20"/>
    </row>
    <row r="55" spans="1:26" x14ac:dyDescent="0.25">
      <c r="A55" s="22"/>
      <c r="B55" s="21"/>
      <c r="C55" s="21"/>
      <c r="D55" s="22"/>
      <c r="E55" s="20"/>
      <c r="F55" s="21"/>
      <c r="G55" s="22"/>
      <c r="H55" s="20"/>
      <c r="I55" s="21"/>
      <c r="J55" s="22"/>
      <c r="K55" s="20"/>
      <c r="L55" s="20"/>
      <c r="M55" s="20"/>
      <c r="N55" s="20"/>
      <c r="O55" s="20"/>
      <c r="P55" s="23"/>
      <c r="Q55" s="20"/>
      <c r="R55" s="20"/>
      <c r="S55" s="20"/>
      <c r="T55" s="20"/>
      <c r="U55" s="21"/>
      <c r="V55" s="22"/>
      <c r="W55" s="20"/>
      <c r="X55" s="21"/>
      <c r="Y55" s="22"/>
      <c r="Z55" s="20"/>
    </row>
    <row r="56" spans="1:26" x14ac:dyDescent="0.25">
      <c r="C56" s="21"/>
      <c r="D56" s="22"/>
      <c r="E56" s="20"/>
      <c r="F56" s="21"/>
      <c r="G56" s="22"/>
      <c r="H56" s="20"/>
      <c r="I56" s="21"/>
      <c r="J56" s="22"/>
      <c r="K56" s="20"/>
      <c r="L56" s="21"/>
      <c r="M56" s="21"/>
      <c r="N56" s="20"/>
      <c r="O56" s="22"/>
      <c r="P56" s="22"/>
      <c r="Q56" s="20"/>
      <c r="R56" s="22"/>
      <c r="S56" s="22"/>
      <c r="T56" s="22"/>
      <c r="U56" s="21"/>
      <c r="V56" s="22"/>
      <c r="W56" s="20"/>
      <c r="X56" s="21"/>
      <c r="Y56" s="22"/>
      <c r="Z56" s="20"/>
    </row>
  </sheetData>
  <mergeCells count="13">
    <mergeCell ref="A1:AA1"/>
    <mergeCell ref="A36:Z36"/>
    <mergeCell ref="A21:B21"/>
    <mergeCell ref="U2:W2"/>
    <mergeCell ref="A2:A3"/>
    <mergeCell ref="B2:B3"/>
    <mergeCell ref="C2:E2"/>
    <mergeCell ref="F2:H2"/>
    <mergeCell ref="I2:K2"/>
    <mergeCell ref="L2:N2"/>
    <mergeCell ref="O2:Q2"/>
    <mergeCell ref="R2:T2"/>
    <mergeCell ref="X2:AA2"/>
  </mergeCells>
  <pageMargins left="0.7" right="0.7" top="0.75" bottom="0.75" header="0.3" footer="0.3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OPEN LINE FR</vt:lpstr>
      <vt:lpstr>GSU FR</vt:lpstr>
      <vt:lpstr>'OPEN LINE FR'!Print_Area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</dc:creator>
  <cp:lastModifiedBy>user</cp:lastModifiedBy>
  <cp:lastPrinted>2026-05-05T06:24:27Z</cp:lastPrinted>
  <dcterms:created xsi:type="dcterms:W3CDTF">2020-11-02T10:22:09Z</dcterms:created>
  <dcterms:modified xsi:type="dcterms:W3CDTF">2026-08-17T11:36:53Z</dcterms:modified>
</cp:coreProperties>
</file>